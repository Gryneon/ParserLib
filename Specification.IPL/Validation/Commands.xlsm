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ParserLib\Specification.IPL\Validation\"/>
    </mc:Choice>
  </mc:AlternateContent>
  <xr:revisionPtr revIDLastSave="0" documentId="13_ncr:1_{C01CC71F-5B1B-4D09-801A-BDF473DD45C6}" xr6:coauthVersionLast="47" xr6:coauthVersionMax="47" xr10:uidLastSave="{00000000-0000-0000-0000-000000000000}"/>
  <bookViews>
    <workbookView xWindow="-120" yWindow="-120" windowWidth="29040" windowHeight="15720" activeTab="2" xr2:uid="{3D25F5D8-A161-4D96-B073-F47C9E35C0F8}"/>
  </bookViews>
  <sheets>
    <sheet name="Key" sheetId="2" r:id="rId1"/>
    <sheet name="Sheet1" sheetId="1" r:id="rId2"/>
    <sheet name="Sheet2" sheetId="3" r:id="rId3"/>
  </sheets>
  <functionGroups builtInGroupCount="19"/>
  <externalReferences>
    <externalReference r:id="rId4"/>
  </externalReferences>
  <definedNames>
    <definedName name="_xleta.REPLACE" hidden="1" xlm="1">#NAME?</definedName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on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step2" hidden="1" xlm="1">#NAME?</definedName>
    <definedName name="_xlpm.types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LookupTypeName">Sheet2!$L$2</definedName>
    <definedName name="StyleNames">KeyTable[StyleName]</definedName>
    <definedName name="TitleFontSize_Override">SizeOverrideTable[Cell Title]</definedName>
    <definedName name="TokenCompat">Sheet2!$L$3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B12" i="3" l="1"/>
  <c r="B13" i="3"/>
  <c r="B14" i="3"/>
  <c r="B15" i="3"/>
  <c r="B16" i="3"/>
  <c r="B17" i="3"/>
  <c r="B3" i="3"/>
  <c r="B4" i="3"/>
  <c r="B5" i="3"/>
  <c r="B6" i="3"/>
  <c r="B7" i="3"/>
  <c r="B8" i="3"/>
  <c r="B9" i="3"/>
  <c r="B10" i="3"/>
  <c r="B11" i="3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M7" i="1"/>
  <c r="M3" i="1"/>
  <c r="M4" i="1"/>
  <c r="M5" i="1"/>
  <c r="M6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L5" i="1"/>
  <c r="L6" i="1"/>
  <c r="L7" i="1"/>
  <c r="L8" i="1"/>
  <c r="L9" i="1"/>
  <c r="L10" i="1"/>
  <c r="L17" i="1"/>
  <c r="L18" i="1"/>
  <c r="A18" i="1" s="1"/>
  <c r="L19" i="1"/>
  <c r="A19" i="1" s="1"/>
  <c r="L20" i="1"/>
  <c r="A20" i="1" s="1"/>
  <c r="A5" i="1"/>
  <c r="A7" i="1"/>
  <c r="K3" i="1"/>
  <c r="L3" i="1" s="1"/>
  <c r="K4" i="1"/>
  <c r="L4" i="1" s="1"/>
  <c r="K5" i="1"/>
  <c r="K6" i="1"/>
  <c r="K7" i="1"/>
  <c r="K8" i="1"/>
  <c r="K9" i="1"/>
  <c r="K10" i="1"/>
  <c r="K11" i="1"/>
  <c r="L11" i="1" s="1"/>
  <c r="A11" i="1" s="1"/>
  <c r="K12" i="1"/>
  <c r="L12" i="1" s="1"/>
  <c r="A12" i="1" s="1"/>
  <c r="K13" i="1"/>
  <c r="L13" i="1" s="1"/>
  <c r="A13" i="1" s="1"/>
  <c r="K14" i="1"/>
  <c r="L14" i="1" s="1"/>
  <c r="A14" i="1" s="1"/>
  <c r="K15" i="1"/>
  <c r="L15" i="1" s="1"/>
  <c r="A15" i="1" s="1"/>
  <c r="K16" i="1"/>
  <c r="L16" i="1" s="1"/>
  <c r="A16" i="1" s="1"/>
  <c r="K17" i="1"/>
  <c r="K18" i="1"/>
  <c r="K19" i="1"/>
  <c r="K20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53" i="2" a="1"/>
  <c r="Q53" i="2" s="1"/>
  <c r="P53" i="2" a="1"/>
  <c r="P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/>
  <c r="Q48" i="2" a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P4" i="2" a="1"/>
  <c r="P4" i="2" s="1"/>
  <c r="B4" i="2"/>
  <c r="O4" i="2" s="1" a="1"/>
  <c r="O4" i="2" s="1"/>
  <c r="Q3" i="2" a="1"/>
  <c r="Q3" i="2" s="1"/>
  <c r="B3" i="2"/>
  <c r="A4" i="1" l="1"/>
  <c r="A3" i="1"/>
  <c r="A17" i="1"/>
  <c r="A10" i="1"/>
  <c r="A9" i="1"/>
  <c r="A8" i="1"/>
  <c r="A6" i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<sst xmlns="http://schemas.openxmlformats.org/spreadsheetml/2006/main" count="645" uniqueCount="273">
  <si>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</si>
  <si>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</si>
  <si>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</si>
  <si>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</si>
  <si>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</si>
  <si>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</si>
  <si>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</si>
  <si>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</si>
  <si>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</si>
  <si>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</si>
  <si>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</si>
  <si>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</si>
  <si>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</si>
  <si>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</si>
  <si>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</si>
  <si>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</si>
  <si>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</si>
  <si>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</si>
  <si>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</si>
  <si>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</si>
  <si>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</si>
  <si>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</si>
  <si>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</si>
  <si>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</si>
  <si>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</si>
  <si>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</si>
  <si>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</si>
  <si>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</si>
  <si>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</si>
  <si>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</si>
  <si>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</si>
  <si>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</si>
  <si>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</si>
  <si>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</si>
  <si>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</si>
  <si>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</si>
  <si>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</si>
  <si>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</si>
  <si>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</si>
  <si>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</si>
  <si>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OCR A Extended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</si>
  <si>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</si>
  <si>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</si>
  <si>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</si>
  <si>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</si>
  <si>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</si>
  <si>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</si>
  <si>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</si>
  <si>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</si>
  <si>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</si>
  <si>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</si>
  <si>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</si>
  <si>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</si>
  <si>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</si>
  <si>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</si>
  <si>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</si>
  <si>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</si>
  <si>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</si>
  <si>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</si>
  <si>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</si>
  <si>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</si>
  <si>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</si>
  <si>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</si>
  <si>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</si>
  <si>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</si>
  <si>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</si>
  <si>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</si>
  <si>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</si>
  <si>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</si>
  <si>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</si>
  <si>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</si>
  <si>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</si>
  <si>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</si>
  <si>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</si>
  <si>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</si>
  <si>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</si>
  <si>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</si>
  <si>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</si>
  <si>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</si>
  <si>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</si>
  <si>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</si>
  <si>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</si>
  <si>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</si>
  <si>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</si>
  <si>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</si>
  <si>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</si>
  <si>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</si>
  <si>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</si>
  <si>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</si>
  <si>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</si>
  <si>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</si>
  <si>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</si>
  <si>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</si>
  <si>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</si>
  <si>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</si>
  <si>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</si>
  <si>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</si>
  <si>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</si>
  <si>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</si>
  <si>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</si>
  <si>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</si>
  <si>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</si>
  <si>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</si>
  <si>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</si>
  <si>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</si>
  <si>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</si>
  <si>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</si>
  <si>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</si>
  <si>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</si>
  <si>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</si>
  <si>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</si>
  <si>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</si>
  <si>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</si>
  <si>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</si>
  <si>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</si>
  <si>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</si>
  <si>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</si>
  <si>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</si>
  <si>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</si>
  <si>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</si>
  <si>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</si>
  <si>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</si>
  <si>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</si>
  <si>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</si>
  <si>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</si>
  <si>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</si>
  <si>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</si>
  <si>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</si>
  <si>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</si>
  <si>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</si>
  <si>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</si>
  <si>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</si>
  <si>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</si>
  <si>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</si>
  <si>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</si>
  <si>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</si>
  <si>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</si>
  <si>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</si>
  <si>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</si>
  <si>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</si>
  <si>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</si>
  <si>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</si>
  <si>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</si>
  <si>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</si>
  <si>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</si>
  <si>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</si>
  <si>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</si>
  <si>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</si>
  <si>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</si>
  <si>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</si>
  <si>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</si>
  <si>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</si>
  <si>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</si>
  <si>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</si>
  <si>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</si>
  <si>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</si>
  <si>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</si>
  <si>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</si>
  <si>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</si>
  <si>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</si>
  <si>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</si>
  <si>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</si>
  <si>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</si>
  <si>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</si>
  <si>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</si>
  <si>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</si>
  <si>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</si>
  <si>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</si>
  <si>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</si>
  <si>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</si>
  <si>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</si>
  <si>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</si>
  <si>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</si>
  <si>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</si>
  <si>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</si>
  <si>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</si>
  <si>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</si>
  <si>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</si>
  <si>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</si>
  <si>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</si>
  <si>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</si>
  <si>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</si>
  <si>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</si>
  <si>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</si>
  <si>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</si>
  <si>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</si>
  <si>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</si>
  <si>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</si>
  <si>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</si>
  <si>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</si>
  <si>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</si>
  <si>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</si>
  <si>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</si>
  <si>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</si>
  <si>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</si>
  <si>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</si>
  <si>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</si>
  <si>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</si>
  <si>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Commands</t>
  </si>
  <si>
    <t>Column10</t>
  </si>
  <si>
    <t>Column11</t>
  </si>
  <si>
    <t>Column12</t>
  </si>
  <si>
    <t>Column13</t>
  </si>
  <si>
    <t>Column14</t>
  </si>
  <si>
    <t>Command</t>
  </si>
  <si>
    <t>IsEscaped</t>
  </si>
  <si>
    <t>IsShifted</t>
  </si>
  <si>
    <t>ReqMode</t>
  </si>
  <si>
    <t>EscHelper</t>
  </si>
  <si>
    <t>ShiftHelper</t>
  </si>
  <si>
    <t>Letter</t>
  </si>
  <si>
    <t>R</t>
  </si>
  <si>
    <t>P</t>
  </si>
  <si>
    <t>Any</t>
  </si>
  <si>
    <t>Mode</t>
  </si>
  <si>
    <t>Line</t>
  </si>
  <si>
    <t>H</t>
  </si>
  <si>
    <t>Fields</t>
  </si>
  <si>
    <t>FieldFmt</t>
  </si>
  <si>
    <t>Fmt</t>
  </si>
  <si>
    <t>o</t>
  </si>
  <si>
    <t>Prop</t>
  </si>
  <si>
    <t>FieldsMin</t>
  </si>
  <si>
    <t>FieldsMax</t>
  </si>
  <si>
    <t>L</t>
  </si>
  <si>
    <t>B</t>
  </si>
  <si>
    <t>I</t>
  </si>
  <si>
    <t>U</t>
  </si>
  <si>
    <t>w</t>
  </si>
  <si>
    <t>h</t>
  </si>
  <si>
    <t>f</t>
  </si>
  <si>
    <t>c</t>
  </si>
  <si>
    <t>d</t>
  </si>
  <si>
    <t>ForceField1</t>
  </si>
  <si>
    <t>d3</t>
  </si>
  <si>
    <t>E</t>
  </si>
  <si>
    <t>d0</t>
  </si>
  <si>
    <t>%L</t>
  </si>
  <si>
    <t>%F</t>
  </si>
  <si>
    <t>%V</t>
  </si>
  <si>
    <t>Numeric Value</t>
  </si>
  <si>
    <t>%L%V,%V</t>
  </si>
  <si>
    <t>let</t>
  </si>
  <si>
    <t>%L%V</t>
  </si>
  <si>
    <t>Column112</t>
  </si>
  <si>
    <t>%E</t>
  </si>
  <si>
    <t>Escape</t>
  </si>
  <si>
    <t>Token Helper</t>
  </si>
  <si>
    <t>String Formats</t>
  </si>
  <si>
    <t>["$type$"] = JTT.$type$,</t>
  </si>
  <si>
    <t>None</t>
  </si>
  <si>
    <t>Str</t>
  </si>
  <si>
    <t>Num</t>
  </si>
  <si>
    <t>Null</t>
  </si>
  <si>
    <t>Value</t>
  </si>
  <si>
    <t>Array</t>
  </si>
  <si>
    <t>Property</t>
  </si>
  <si>
    <t>Co</t>
  </si>
  <si>
    <t>Bc</t>
  </si>
  <si>
    <t>Bo</t>
  </si>
  <si>
    <t>Cm</t>
  </si>
  <si>
    <t>Ao</t>
  </si>
  <si>
    <t>Ac</t>
  </si>
  <si>
    <t>Token Compat</t>
  </si>
  <si>
    <t>Object</t>
  </si>
  <si>
    <t>Undef</t>
  </si>
  <si>
    <t>Alias1</t>
  </si>
  <si>
    <t>Alias2</t>
  </si>
  <si>
    <t>Alias3</t>
  </si>
  <si>
    <t>Alias4</t>
  </si>
  <si>
    <t>Alias5</t>
  </si>
  <si>
    <t>Compat</t>
  </si>
  <si>
    <t>[$type$] = [$types$],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</si>
</sst>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"/>
  </numFmts>
  <fonts count="48" x14ac:knownFonts="1">
    <font>
      <sz val="11"/>
      <color theme="1"/>
      <name val="Bahnschrift"/>
      <family val="2"/>
      <scheme val="minor"/>
    </font>
    <font>
      <sz val="12"/>
      <color rgb="FF000000"/>
      <name val="Bahnschrift"/>
      <family val="2"/>
    </font>
    <font>
      <sz val="16"/>
      <color rgb="FFD8DFFE"/>
      <name val="Bahnschrift"/>
      <family val="2"/>
      <scheme val="major"/>
    </font>
    <font>
      <i/>
      <sz val="11"/>
      <color rgb="FF58267D"/>
      <name val="Bahnschrift"/>
      <family val="2"/>
      <scheme val="major"/>
    </font>
    <font>
      <sz val="11"/>
      <color rgb="FFEEE1F7"/>
      <name val="Bahnschrift"/>
      <family val="2"/>
      <scheme val="major"/>
    </font>
    <font>
      <sz val="11"/>
      <color rgb="FFE6E6E6"/>
      <name val="Bahnschrift"/>
      <family val="2"/>
      <scheme val="major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rgb="FF3F3F3F"/>
      <name val="Bahnschrift"/>
      <family val="2"/>
      <scheme val="major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theme="1"/>
      <name val="Cascadia Code"/>
      <family val="3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8"/>
      <name val="Bahnschrift"/>
      <family val="2"/>
      <scheme val="minor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49" fontId="2" fillId="2" borderId="1">
      <alignment horizontal="center" vertical="center"/>
    </xf>
    <xf numFmtId="49" fontId="3" fillId="3" borderId="1" applyAlignment="0">
      <protection locked="0"/>
    </xf>
    <xf numFmtId="49" fontId="4" fillId="4" borderId="1" applyAlignment="0"/>
    <xf numFmtId="49" fontId="5" fillId="5" borderId="1" applyAlignment="0"/>
    <xf numFmtId="49" fontId="5" fillId="6" borderId="1" applyAlignment="0"/>
    <xf numFmtId="0" fontId="45" fillId="7" borderId="1" applyNumberFormat="0" applyAlignment="0"/>
    <xf numFmtId="0" fontId="43" fillId="8" borderId="1" applyNumberFormat="0" applyFill="0" applyBorder="0" applyAlignment="0" applyProtection="0"/>
    <xf numFmtId="0" fontId="8" fillId="9" borderId="1" applyNumberFormat="0" applyAlignment="0"/>
    <xf numFmtId="0" fontId="8" fillId="10" borderId="1" applyNumberFormat="0" applyAlignment="0"/>
    <xf numFmtId="49" fontId="9" fillId="11" borderId="1" applyAlignment="0"/>
    <xf numFmtId="49" fontId="10" fillId="5" borderId="1" applyAlignment="0"/>
    <xf numFmtId="0" fontId="9" fillId="12" borderId="1" applyNumberFormat="0" applyAlignment="0"/>
    <xf numFmtId="0" fontId="11" fillId="13" borderId="1" applyNumberFormat="0" applyAlignment="0"/>
    <xf numFmtId="49" fontId="13" fillId="2" borderId="1">
      <alignment horizontal="center" vertical="center"/>
    </xf>
    <xf numFmtId="49" fontId="13" fillId="14" borderId="1">
      <alignment horizontal="center" vertical="center"/>
    </xf>
    <xf numFmtId="0" fontId="14" fillId="15" borderId="1" applyNumberFormat="0" applyProtection="0">
      <alignment horizontal="center" vertical="center"/>
      <protection locked="0"/>
    </xf>
    <xf numFmtId="0" fontId="46" fillId="16" borderId="1" applyNumberFormat="0" applyProtection="0">
      <alignment horizontal="center" vertical="center"/>
      <protection locked="0"/>
    </xf>
    <xf numFmtId="0" fontId="14" fillId="17" borderId="1" applyNumberFormat="0" applyProtection="0">
      <alignment horizontal="center" vertical="center"/>
      <protection locked="0"/>
    </xf>
    <xf numFmtId="49" fontId="15" fillId="18" borderId="1" applyProtection="0">
      <alignment horizontal="center" vertical="center"/>
      <protection locked="0"/>
    </xf>
    <xf numFmtId="49" fontId="16" fillId="19" borderId="1" applyAlignment="0"/>
    <xf numFmtId="49" fontId="16" fillId="20" borderId="1" applyAlignment="0"/>
    <xf numFmtId="0" fontId="17" fillId="21" borderId="1" applyNumberFormat="0" applyAlignment="0">
      <protection locked="0"/>
    </xf>
    <xf numFmtId="164" fontId="18" fillId="22" borderId="1" applyAlignment="0">
      <protection locked="0"/>
    </xf>
    <xf numFmtId="0" fontId="18" fillId="22" borderId="1" applyNumberFormat="0" applyAlignment="0">
      <alignment horizontal="left"/>
      <protection locked="0"/>
    </xf>
    <xf numFmtId="0" fontId="17" fillId="23" borderId="1" applyNumberFormat="0" applyAlignment="0">
      <protection locked="0"/>
    </xf>
    <xf numFmtId="0" fontId="19" fillId="24" borderId="1" applyNumberFormat="0" applyAlignment="0">
      <protection locked="0"/>
    </xf>
    <xf numFmtId="49" fontId="20" fillId="25" borderId="1" applyAlignment="0"/>
    <xf numFmtId="49" fontId="20" fillId="26" borderId="1" applyAlignment="0"/>
    <xf numFmtId="0" fontId="17" fillId="27" borderId="1" applyNumberFormat="0" applyAlignment="0" applyProtection="0">
      <protection locked="0"/>
    </xf>
    <xf numFmtId="0" fontId="18" fillId="28" borderId="1" applyNumberFormat="0" applyAlignment="0" applyProtection="0">
      <protection locked="0"/>
    </xf>
    <xf numFmtId="0" fontId="17" fillId="29" borderId="1" applyNumberFormat="0" applyAlignment="0" applyProtection="0">
      <protection locked="0"/>
    </xf>
    <xf numFmtId="0" fontId="21" fillId="30" borderId="1" applyNumberFormat="0" applyAlignment="0" applyProtection="0">
      <protection locked="0"/>
    </xf>
    <xf numFmtId="49" fontId="22" fillId="31" borderId="1" applyAlignment="0"/>
    <xf numFmtId="49" fontId="22" fillId="32" borderId="1" applyAlignment="0"/>
    <xf numFmtId="0" fontId="17" fillId="33" borderId="1" applyNumberFormat="0" applyAlignment="0"/>
    <xf numFmtId="164" fontId="44" fillId="34" borderId="1" applyAlignment="0">
      <alignment horizontal="left"/>
    </xf>
    <xf numFmtId="0" fontId="44" fillId="34" borderId="1" applyNumberFormat="0" applyAlignment="0">
      <alignment horizontal="left"/>
    </xf>
    <xf numFmtId="0" fontId="17" fillId="35" borderId="1" applyNumberFormat="0" applyAlignment="0"/>
    <xf numFmtId="0" fontId="23" fillId="36" borderId="1" applyNumberFormat="0" applyAlignment="0"/>
    <xf numFmtId="49" fontId="24" fillId="37" borderId="1" applyAlignment="0"/>
    <xf numFmtId="49" fontId="24" fillId="38" borderId="1" applyAlignment="0"/>
    <xf numFmtId="0" fontId="17" fillId="39" borderId="1" applyNumberFormat="0" applyAlignment="0"/>
    <xf numFmtId="0" fontId="44" fillId="40" borderId="1" applyNumberFormat="0" applyAlignment="0"/>
    <xf numFmtId="0" fontId="17" fillId="41" borderId="1" applyNumberFormat="0" applyAlignment="0"/>
    <xf numFmtId="0" fontId="25" fillId="42" borderId="1" applyNumberFormat="0" applyAlignment="0"/>
    <xf numFmtId="49" fontId="4" fillId="43" borderId="1" applyAlignment="0"/>
    <xf numFmtId="0" fontId="17" fillId="44" borderId="1" applyNumberFormat="0" applyAlignment="0">
      <protection locked="0"/>
    </xf>
    <xf numFmtId="0" fontId="44" fillId="45" borderId="1" applyNumberFormat="0" applyAlignment="0">
      <protection locked="0"/>
    </xf>
    <xf numFmtId="0" fontId="17" fillId="46" borderId="1" applyNumberFormat="0" applyAlignment="0">
      <protection locked="0"/>
    </xf>
    <xf numFmtId="0" fontId="7" fillId="0" borderId="0" applyNumberFormat="0" applyFill="0" applyBorder="0" applyAlignment="0" applyProtection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2" fontId="2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31" fillId="55" borderId="0" applyNumberFormat="0" applyBorder="0" applyAlignment="0" applyProtection="0"/>
    <xf numFmtId="0" fontId="32" fillId="56" borderId="0" applyNumberFormat="0" applyBorder="0" applyAlignment="0" applyProtection="0"/>
    <xf numFmtId="0" fontId="33" fillId="57" borderId="0" applyNumberFormat="0" applyBorder="0" applyAlignment="0" applyProtection="0"/>
    <xf numFmtId="0" fontId="34" fillId="58" borderId="30" applyNumberFormat="0" applyAlignment="0" applyProtection="0"/>
    <xf numFmtId="0" fontId="35" fillId="59" borderId="31" applyNumberFormat="0" applyAlignment="0" applyProtection="0"/>
    <xf numFmtId="0" fontId="36" fillId="59" borderId="30" applyNumberFormat="0" applyAlignment="0" applyProtection="0"/>
    <xf numFmtId="0" fontId="37" fillId="0" borderId="32" applyNumberFormat="0" applyFill="0" applyAlignment="0" applyProtection="0"/>
    <xf numFmtId="0" fontId="38" fillId="60" borderId="33" applyNumberFormat="0" applyAlignment="0" applyProtection="0"/>
    <xf numFmtId="0" fontId="39" fillId="0" borderId="0" applyNumberFormat="0" applyFill="0" applyBorder="0" applyAlignment="0" applyProtection="0"/>
    <xf numFmtId="0" fontId="26" fillId="61" borderId="34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35" applyNumberFormat="0" applyFill="0" applyAlignment="0" applyProtection="0"/>
    <xf numFmtId="0" fontId="42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4" borderId="0" applyNumberFormat="0" applyBorder="0" applyAlignment="0" applyProtection="0"/>
    <xf numFmtId="0" fontId="26" fillId="65" borderId="0" applyNumberFormat="0" applyBorder="0" applyAlignment="0" applyProtection="0"/>
    <xf numFmtId="0" fontId="42" fillId="66" borderId="0" applyNumberFormat="0" applyBorder="0" applyAlignment="0" applyProtection="0"/>
    <xf numFmtId="0" fontId="26" fillId="67" borderId="0" applyNumberFormat="0" applyBorder="0" applyAlignment="0" applyProtection="0"/>
    <xf numFmtId="0" fontId="26" fillId="68" borderId="0" applyNumberFormat="0" applyBorder="0" applyAlignment="0" applyProtection="0"/>
    <xf numFmtId="0" fontId="26" fillId="69" borderId="0" applyNumberFormat="0" applyBorder="0" applyAlignment="0" applyProtection="0"/>
    <xf numFmtId="0" fontId="42" fillId="70" borderId="0" applyNumberFormat="0" applyBorder="0" applyAlignment="0" applyProtection="0"/>
    <xf numFmtId="0" fontId="26" fillId="71" borderId="0" applyNumberFormat="0" applyBorder="0" applyAlignment="0" applyProtection="0"/>
    <xf numFmtId="0" fontId="26" fillId="72" borderId="0" applyNumberFormat="0" applyBorder="0" applyAlignment="0" applyProtection="0"/>
    <xf numFmtId="0" fontId="26" fillId="73" borderId="0" applyNumberFormat="0" applyBorder="0" applyAlignment="0" applyProtection="0"/>
    <xf numFmtId="0" fontId="42" fillId="74" borderId="0" applyNumberFormat="0" applyBorder="0" applyAlignment="0" applyProtection="0"/>
    <xf numFmtId="0" fontId="26" fillId="75" borderId="0" applyNumberFormat="0" applyBorder="0" applyAlignment="0" applyProtection="0"/>
    <xf numFmtId="0" fontId="26" fillId="76" borderId="0" applyNumberFormat="0" applyBorder="0" applyAlignment="0" applyProtection="0"/>
    <xf numFmtId="0" fontId="26" fillId="77" borderId="0" applyNumberFormat="0" applyBorder="0" applyAlignment="0" applyProtection="0"/>
    <xf numFmtId="0" fontId="42" fillId="78" borderId="0" applyNumberFormat="0" applyBorder="0" applyAlignment="0" applyProtection="0"/>
    <xf numFmtId="0" fontId="26" fillId="79" borderId="0" applyNumberFormat="0" applyBorder="0" applyAlignment="0" applyProtection="0"/>
    <xf numFmtId="0" fontId="26" fillId="80" borderId="0" applyNumberFormat="0" applyBorder="0" applyAlignment="0" applyProtection="0"/>
    <xf numFmtId="0" fontId="26" fillId="81" borderId="0" applyNumberFormat="0" applyBorder="0" applyAlignment="0" applyProtection="0"/>
    <xf numFmtId="0" fontId="42" fillId="82" borderId="0" applyNumberFormat="0" applyBorder="0" applyAlignment="0" applyProtection="0"/>
    <xf numFmtId="0" fontId="26" fillId="83" borderId="0" applyNumberFormat="0" applyBorder="0" applyAlignment="0" applyProtection="0"/>
    <xf numFmtId="0" fontId="26" fillId="84" borderId="0" applyNumberFormat="0" applyBorder="0" applyAlignment="0" applyProtection="0"/>
    <xf numFmtId="0" fontId="26" fillId="85" borderId="0" applyNumberFormat="0" applyBorder="0" applyAlignment="0" applyProtection="0"/>
  </cellStyleXfs>
  <cellXfs count="185">
    <xf numFmtId="0" fontId="0" fillId="0" borderId="0" xfId="0"/>
    <xf numFmtId="49" fontId="4" fillId="4" borderId="1" xfId="3"/>
    <xf numFmtId="0" fontId="0" fillId="0" borderId="0" xfId="0" applyAlignment="1">
      <alignment horizontal="center"/>
    </xf>
    <xf numFmtId="49" fontId="5" fillId="6" borderId="1" xfId="5"/>
    <xf numFmtId="0" fontId="45" fillId="7" borderId="4" xfId="6" applyBorder="1" applyAlignment="1">
      <alignment horizontal="left"/>
    </xf>
    <xf numFmtId="0" fontId="45" fillId="7" borderId="1" xfId="6" applyAlignment="1">
      <alignment horizontal="left"/>
    </xf>
    <xf numFmtId="0" fontId="45" fillId="7" borderId="1" xfId="6" applyAlignment="1">
      <alignment horizontal="center"/>
    </xf>
    <xf numFmtId="0" fontId="6" fillId="0" borderId="0" xfId="0" applyFont="1"/>
    <xf numFmtId="0" fontId="43" fillId="0" borderId="0" xfId="7" applyFill="1" applyBorder="1"/>
    <xf numFmtId="0" fontId="7" fillId="0" borderId="0" xfId="0" applyFont="1"/>
    <xf numFmtId="49" fontId="5" fillId="5" borderId="1" xfId="4"/>
    <xf numFmtId="0" fontId="45" fillId="7" borderId="1" xfId="6"/>
    <xf numFmtId="0" fontId="8" fillId="9" borderId="1" xfId="8"/>
    <xf numFmtId="0" fontId="8" fillId="10" borderId="1" xfId="9" applyNumberFormat="1"/>
    <xf numFmtId="0" fontId="0" fillId="0" borderId="9" xfId="0" applyBorder="1"/>
    <xf numFmtId="0" fontId="0" fillId="0" borderId="9" xfId="0" applyBorder="1" applyAlignment="1">
      <alignment horizontal="center"/>
    </xf>
    <xf numFmtId="0" fontId="45" fillId="7" borderId="12" xfId="6" applyBorder="1" applyAlignment="1">
      <alignment horizontal="left"/>
    </xf>
    <xf numFmtId="0" fontId="45" fillId="7" borderId="13" xfId="6" applyBorder="1" applyAlignment="1">
      <alignment horizontal="left"/>
    </xf>
    <xf numFmtId="0" fontId="45" fillId="7" borderId="13" xfId="6" applyBorder="1"/>
    <xf numFmtId="49" fontId="9" fillId="11" borderId="1" xfId="10"/>
    <xf numFmtId="0" fontId="45" fillId="7" borderId="17" xfId="6" applyBorder="1" applyAlignment="1">
      <alignment horizontal="left"/>
    </xf>
    <xf numFmtId="0" fontId="45" fillId="7" borderId="18" xfId="6" applyBorder="1" applyAlignment="1">
      <alignment horizontal="left"/>
    </xf>
    <xf numFmtId="0" fontId="45" fillId="7" borderId="18" xfId="6" applyBorder="1"/>
    <xf numFmtId="49" fontId="10" fillId="5" borderId="1" xfId="11"/>
    <xf numFmtId="0" fontId="9" fillId="12" borderId="1" xfId="12"/>
    <xf numFmtId="0" fontId="11" fillId="13" borderId="1" xfId="13"/>
    <xf numFmtId="49" fontId="12" fillId="2" borderId="1" xfId="1" applyFont="1" applyAlignment="1">
      <alignment horizontal="left"/>
    </xf>
    <xf numFmtId="49" fontId="13" fillId="2" borderId="1" xfId="14" applyAlignment="1">
      <alignment vertical="center"/>
    </xf>
    <xf numFmtId="0" fontId="13" fillId="14" borderId="1" xfId="15" applyNumberFormat="1" applyAlignment="1">
      <alignment horizontal="left" vertical="center"/>
    </xf>
    <xf numFmtId="0" fontId="14" fillId="15" borderId="1" xfId="16" applyAlignment="1">
      <alignment vertical="center"/>
      <protection locked="0"/>
    </xf>
    <xf numFmtId="0" fontId="0" fillId="0" borderId="19" xfId="0" applyBorder="1"/>
    <xf numFmtId="0" fontId="0" fillId="0" borderId="19" xfId="0" applyBorder="1" applyAlignment="1">
      <alignment horizontal="center"/>
    </xf>
    <xf numFmtId="0" fontId="46" fillId="16" borderId="1" xfId="17" applyNumberFormat="1" applyAlignment="1">
      <alignment horizontal="left" vertical="center"/>
      <protection locked="0"/>
    </xf>
    <xf numFmtId="0" fontId="14" fillId="17" borderId="1" xfId="18" applyAlignment="1">
      <alignment horizontal="left"/>
      <protection locked="0"/>
    </xf>
    <xf numFmtId="49" fontId="15" fillId="18" borderId="1" xfId="19" applyAlignment="1">
      <alignment horizontal="left" vertical="center"/>
      <protection locked="0"/>
    </xf>
    <xf numFmtId="0" fontId="0" fillId="0" borderId="21" xfId="0" applyBorder="1"/>
    <xf numFmtId="0" fontId="45" fillId="7" borderId="12" xfId="6" applyNumberFormat="1" applyBorder="1" applyAlignment="1">
      <alignment horizontal="left"/>
    </xf>
    <xf numFmtId="49" fontId="16" fillId="19" borderId="1" xfId="20"/>
    <xf numFmtId="49" fontId="16" fillId="20" borderId="1" xfId="21"/>
    <xf numFmtId="0" fontId="17" fillId="21" borderId="1" xfId="22">
      <protection locked="0"/>
    </xf>
    <xf numFmtId="0" fontId="17" fillId="21" borderId="1" xfId="22" applyNumberFormat="1" applyProtection="1"/>
    <xf numFmtId="164" fontId="18" fillId="22" borderId="1" xfId="23" applyAlignment="1">
      <protection locked="0"/>
    </xf>
    <xf numFmtId="0" fontId="18" fillId="22" borderId="1" xfId="23" applyNumberFormat="1" applyAlignment="1" applyProtection="1"/>
    <xf numFmtId="0" fontId="18" fillId="22" borderId="1" xfId="24" applyNumberFormat="1" applyAlignment="1">
      <alignment horizontal="left"/>
      <protection locked="0"/>
    </xf>
    <xf numFmtId="0" fontId="18" fillId="22" borderId="1" xfId="24" applyNumberFormat="1" applyAlignment="1" applyProtection="1"/>
    <xf numFmtId="0" fontId="17" fillId="23" borderId="1" xfId="25" applyNumberFormat="1">
      <protection locked="0"/>
    </xf>
    <xf numFmtId="0" fontId="17" fillId="23" borderId="1" xfId="25" applyNumberFormat="1" applyProtection="1"/>
    <xf numFmtId="0" fontId="19" fillId="24" borderId="1" xfId="26">
      <protection locked="0"/>
    </xf>
    <xf numFmtId="0" fontId="19" fillId="24" borderId="1" xfId="26" applyNumberFormat="1" applyProtection="1"/>
    <xf numFmtId="49" fontId="20" fillId="25" borderId="1" xfId="27"/>
    <xf numFmtId="49" fontId="20" fillId="26" borderId="1" xfId="28"/>
    <xf numFmtId="0" fontId="17" fillId="27" borderId="1" xfId="29">
      <protection locked="0"/>
    </xf>
    <xf numFmtId="0" fontId="18" fillId="28" borderId="1" xfId="30">
      <protection locked="0"/>
    </xf>
    <xf numFmtId="0" fontId="17" fillId="29" borderId="1" xfId="31">
      <protection locked="0"/>
    </xf>
    <xf numFmtId="0" fontId="21" fillId="30" borderId="1" xfId="32">
      <protection locked="0"/>
    </xf>
    <xf numFmtId="49" fontId="22" fillId="31" borderId="1" xfId="33"/>
    <xf numFmtId="49" fontId="22" fillId="32" borderId="1" xfId="34"/>
    <xf numFmtId="0" fontId="17" fillId="33" borderId="1" xfId="35"/>
    <xf numFmtId="164" fontId="44" fillId="34" borderId="1" xfId="36" applyAlignment="1"/>
    <xf numFmtId="0" fontId="44" fillId="34" borderId="1" xfId="37" applyNumberFormat="1" applyAlignment="1">
      <alignment horizontal="left"/>
    </xf>
    <xf numFmtId="0" fontId="17" fillId="35" borderId="1" xfId="38" applyNumberFormat="1"/>
    <xf numFmtId="0" fontId="23" fillId="36" borderId="1" xfId="39"/>
    <xf numFmtId="49" fontId="24" fillId="37" borderId="1" xfId="40"/>
    <xf numFmtId="49" fontId="24" fillId="38" borderId="1" xfId="41"/>
    <xf numFmtId="0" fontId="17" fillId="39" borderId="1" xfId="42"/>
    <xf numFmtId="0" fontId="44" fillId="40" borderId="1" xfId="43"/>
    <xf numFmtId="0" fontId="17" fillId="41" borderId="1" xfId="44"/>
    <xf numFmtId="0" fontId="25" fillId="42" borderId="1" xfId="45"/>
    <xf numFmtId="49" fontId="4" fillId="43" borderId="1" xfId="46"/>
    <xf numFmtId="0" fontId="17" fillId="44" borderId="1" xfId="47">
      <protection locked="0"/>
    </xf>
    <xf numFmtId="0" fontId="44" fillId="45" borderId="1" xfId="48">
      <protection locked="0"/>
    </xf>
    <xf numFmtId="0" fontId="17" fillId="46" borderId="1" xfId="49">
      <protection locked="0"/>
    </xf>
    <xf numFmtId="49" fontId="3" fillId="3" borderId="1" xfId="2">
      <protection locked="0"/>
    </xf>
    <xf numFmtId="49" fontId="0" fillId="0" borderId="24" xfId="0" applyNumberFormat="1" applyBorder="1"/>
    <xf numFmtId="0" fontId="0" fillId="0" borderId="25" xfId="0" applyBorder="1"/>
    <xf numFmtId="0" fontId="45" fillId="7" borderId="24" xfId="6" applyNumberFormat="1" applyBorder="1" applyAlignment="1">
      <alignment horizontal="left"/>
    </xf>
    <xf numFmtId="0" fontId="45" fillId="7" borderId="24" xfId="6" applyNumberFormat="1" applyBorder="1"/>
    <xf numFmtId="49" fontId="7" fillId="0" borderId="24" xfId="50" applyNumberFormat="1" applyFill="1" applyBorder="1" applyProtection="1">
      <protection locked="0"/>
    </xf>
    <xf numFmtId="0" fontId="17" fillId="46" borderId="24" xfId="49" applyBorder="1" applyAlignment="1">
      <alignment horizontal="center"/>
      <protection locked="0"/>
    </xf>
    <xf numFmtId="0" fontId="43" fillId="0" borderId="24" xfId="7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47" borderId="1" xfId="0" applyFill="1" applyBorder="1" applyAlignment="1">
      <alignment horizontal="center"/>
    </xf>
    <xf numFmtId="0" fontId="43" fillId="49" borderId="0" xfId="7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51" borderId="26" xfId="0" applyFill="1" applyBorder="1" applyAlignment="1">
      <alignment horizontal="center"/>
    </xf>
    <xf numFmtId="0" fontId="43" fillId="53" borderId="24" xfId="7" applyFill="1" applyBorder="1" applyAlignment="1">
      <alignment horizontal="center"/>
    </xf>
    <xf numFmtId="0" fontId="0" fillId="50" borderId="18" xfId="0" applyFill="1" applyBorder="1" applyAlignment="1">
      <alignment horizontal="center"/>
    </xf>
    <xf numFmtId="0" fontId="43" fillId="53" borderId="26" xfId="7" applyFill="1" applyBorder="1" applyAlignment="1">
      <alignment horizontal="center"/>
    </xf>
    <xf numFmtId="0" fontId="0" fillId="54" borderId="24" xfId="0" applyFill="1" applyBorder="1" applyAlignment="1">
      <alignment horizontal="center"/>
    </xf>
    <xf numFmtId="0" fontId="0" fillId="51" borderId="18" xfId="0" applyFill="1" applyBorder="1" applyAlignment="1">
      <alignment horizontal="center"/>
    </xf>
    <xf numFmtId="0" fontId="43" fillId="53" borderId="18" xfId="7" applyFill="1" applyBorder="1" applyAlignment="1">
      <alignment horizontal="center"/>
    </xf>
    <xf numFmtId="0" fontId="0" fillId="54" borderId="18" xfId="0" applyFill="1" applyBorder="1" applyAlignment="1">
      <alignment horizontal="center"/>
    </xf>
    <xf numFmtId="0" fontId="43" fillId="0" borderId="0" xfId="7" applyFill="1" applyBorder="1" applyAlignment="1" applyProtection="1">
      <alignment horizontal="center"/>
      <protection locked="0"/>
    </xf>
    <xf numFmtId="0" fontId="43" fillId="46" borderId="24" xfId="7" applyFill="1" applyBorder="1" applyAlignment="1" applyProtection="1">
      <alignment horizontal="center"/>
      <protection locked="0"/>
    </xf>
    <xf numFmtId="0" fontId="7" fillId="46" borderId="24" xfId="50" applyFill="1" applyBorder="1" applyAlignment="1" applyProtection="1">
      <alignment horizontal="center"/>
      <protection locked="0"/>
    </xf>
    <xf numFmtId="0" fontId="7" fillId="48" borderId="1" xfId="50" applyFill="1" applyBorder="1" applyAlignment="1" applyProtection="1">
      <alignment horizontal="center"/>
      <protection locked="0"/>
    </xf>
    <xf numFmtId="0" fontId="7" fillId="52" borderId="24" xfId="50" applyFill="1" applyBorder="1" applyAlignment="1" applyProtection="1">
      <alignment horizontal="center"/>
      <protection locked="0"/>
    </xf>
    <xf numFmtId="0" fontId="7" fillId="52" borderId="26" xfId="50" applyFill="1" applyBorder="1" applyAlignment="1" applyProtection="1">
      <alignment horizontal="center"/>
      <protection locked="0"/>
    </xf>
    <xf numFmtId="0" fontId="7" fillId="52" borderId="18" xfId="50" applyFill="1" applyBorder="1" applyAlignment="1" applyProtection="1">
      <alignment horizontal="center"/>
      <protection locked="0"/>
    </xf>
    <xf numFmtId="0" fontId="17" fillId="27" borderId="1" xfId="29" applyNumberFormat="1" applyProtection="1"/>
    <xf numFmtId="0" fontId="5" fillId="6" borderId="1" xfId="5" applyNumberFormat="1"/>
    <xf numFmtId="0" fontId="5" fillId="5" borderId="1" xfId="4" applyNumberFormat="1"/>
    <xf numFmtId="0" fontId="8" fillId="9" borderId="1" xfId="8" applyNumberFormat="1"/>
    <xf numFmtId="0" fontId="45" fillId="7" borderId="1" xfId="6" applyNumberFormat="1"/>
    <xf numFmtId="0" fontId="9" fillId="11" borderId="1" xfId="10" applyNumberFormat="1"/>
    <xf numFmtId="0" fontId="10" fillId="5" borderId="1" xfId="11" applyNumberFormat="1"/>
    <xf numFmtId="0" fontId="9" fillId="12" borderId="1" xfId="12" applyNumberFormat="1"/>
    <xf numFmtId="0" fontId="11" fillId="13" borderId="1" xfId="13" applyNumberFormat="1"/>
    <xf numFmtId="0" fontId="12" fillId="2" borderId="1" xfId="1" applyNumberFormat="1" applyFont="1" applyAlignment="1">
      <alignment horizontal="left"/>
    </xf>
    <xf numFmtId="0" fontId="13" fillId="2" borderId="1" xfId="14" applyNumberFormat="1" applyAlignment="1">
      <alignment vertical="center"/>
    </xf>
    <xf numFmtId="0" fontId="14" fillId="15" borderId="1" xfId="16" applyNumberFormat="1" applyAlignment="1" applyProtection="1">
      <alignment vertical="center"/>
    </xf>
    <xf numFmtId="0" fontId="46" fillId="16" borderId="1" xfId="17" applyNumberFormat="1" applyAlignment="1" applyProtection="1"/>
    <xf numFmtId="0" fontId="14" fillId="17" borderId="1" xfId="18" applyNumberFormat="1" applyAlignment="1" applyProtection="1">
      <alignment horizontal="left" vertical="center"/>
    </xf>
    <xf numFmtId="0" fontId="15" fillId="18" borderId="1" xfId="19" applyNumberFormat="1" applyAlignment="1" applyProtection="1">
      <alignment horizontal="left" vertical="center"/>
    </xf>
    <xf numFmtId="0" fontId="16" fillId="19" borderId="1" xfId="20" applyNumberFormat="1"/>
    <xf numFmtId="0" fontId="16" fillId="20" borderId="1" xfId="21" applyNumberFormat="1"/>
    <xf numFmtId="0" fontId="20" fillId="25" borderId="1" xfId="27" applyNumberFormat="1"/>
    <xf numFmtId="0" fontId="20" fillId="26" borderId="1" xfId="28" applyNumberFormat="1"/>
    <xf numFmtId="0" fontId="18" fillId="28" borderId="1" xfId="30" applyNumberFormat="1" applyProtection="1"/>
    <xf numFmtId="0" fontId="17" fillId="29" borderId="1" xfId="31" applyNumberFormat="1" applyProtection="1"/>
    <xf numFmtId="0" fontId="21" fillId="30" borderId="1" xfId="32" applyNumberFormat="1" applyProtection="1"/>
    <xf numFmtId="0" fontId="22" fillId="31" borderId="1" xfId="33" applyNumberFormat="1"/>
    <xf numFmtId="0" fontId="22" fillId="32" borderId="1" xfId="34" applyNumberFormat="1"/>
    <xf numFmtId="0" fontId="17" fillId="33" borderId="1" xfId="35" applyNumberFormat="1"/>
    <xf numFmtId="0" fontId="44" fillId="34" borderId="1" xfId="36" applyNumberFormat="1" applyAlignment="1"/>
    <xf numFmtId="0" fontId="44" fillId="34" borderId="1" xfId="37" applyNumberFormat="1" applyAlignment="1"/>
    <xf numFmtId="0" fontId="23" fillId="36" borderId="1" xfId="39" applyNumberFormat="1"/>
    <xf numFmtId="0" fontId="24" fillId="37" borderId="1" xfId="40" applyNumberFormat="1"/>
    <xf numFmtId="0" fontId="24" fillId="38" borderId="1" xfId="41" applyNumberFormat="1"/>
    <xf numFmtId="0" fontId="17" fillId="39" borderId="1" xfId="42" applyNumberFormat="1"/>
    <xf numFmtId="0" fontId="44" fillId="40" borderId="1" xfId="43" applyNumberFormat="1"/>
    <xf numFmtId="0" fontId="17" fillId="41" borderId="1" xfId="44" applyNumberFormat="1"/>
    <xf numFmtId="0" fontId="25" fillId="42" borderId="1" xfId="45" applyNumberFormat="1"/>
    <xf numFmtId="0" fontId="4" fillId="43" borderId="1" xfId="46" applyNumberFormat="1"/>
    <xf numFmtId="0" fontId="4" fillId="4" borderId="1" xfId="3" applyNumberFormat="1"/>
    <xf numFmtId="0" fontId="17" fillId="44" borderId="1" xfId="47" applyNumberFormat="1" applyProtection="1"/>
    <xf numFmtId="0" fontId="44" fillId="45" borderId="1" xfId="48" applyNumberFormat="1" applyProtection="1"/>
    <xf numFmtId="0" fontId="17" fillId="46" borderId="1" xfId="49" applyNumberFormat="1" applyProtection="1"/>
    <xf numFmtId="0" fontId="3" fillId="3" borderId="1" xfId="2" applyNumberFormat="1" applyProtection="1"/>
    <xf numFmtId="0" fontId="0" fillId="0" borderId="24" xfId="0" applyBorder="1"/>
    <xf numFmtId="0" fontId="7" fillId="0" borderId="24" xfId="50" applyNumberFormat="1" applyBorder="1" applyProtection="1"/>
    <xf numFmtId="0" fontId="43" fillId="0" borderId="24" xfId="7" applyNumberFormat="1" applyFill="1" applyBorder="1" applyProtection="1"/>
    <xf numFmtId="0" fontId="44" fillId="45" borderId="7" xfId="48" applyBorder="1" applyAlignment="1">
      <alignment horizontal="center"/>
      <protection locked="0"/>
    </xf>
    <xf numFmtId="0" fontId="44" fillId="45" borderId="0" xfId="48" applyBorder="1" applyAlignment="1">
      <alignment horizontal="center"/>
      <protection locked="0"/>
    </xf>
    <xf numFmtId="0" fontId="44" fillId="45" borderId="8" xfId="48" applyBorder="1" applyAlignment="1">
      <alignment horizontal="center"/>
      <protection locked="0"/>
    </xf>
    <xf numFmtId="0" fontId="44" fillId="45" borderId="10" xfId="48" applyBorder="1" applyAlignment="1">
      <alignment horizontal="center"/>
      <protection locked="0"/>
    </xf>
    <xf numFmtId="0" fontId="44" fillId="45" borderId="9" xfId="48" applyBorder="1" applyAlignment="1">
      <alignment horizontal="center"/>
      <protection locked="0"/>
    </xf>
    <xf numFmtId="0" fontId="44" fillId="45" borderId="11" xfId="48" applyBorder="1" applyAlignment="1">
      <alignment horizontal="center"/>
      <protection locked="0"/>
    </xf>
    <xf numFmtId="0" fontId="44" fillId="45" borderId="14" xfId="48" applyBorder="1" applyAlignment="1">
      <alignment horizontal="center"/>
      <protection locked="0"/>
    </xf>
    <xf numFmtId="0" fontId="44" fillId="45" borderId="15" xfId="48" applyBorder="1" applyAlignment="1">
      <alignment horizontal="center"/>
      <protection locked="0"/>
    </xf>
    <xf numFmtId="0" fontId="44" fillId="45" borderId="16" xfId="48" applyBorder="1" applyAlignment="1">
      <alignment horizontal="center"/>
      <protection locked="0"/>
    </xf>
    <xf numFmtId="0" fontId="44" fillId="45" borderId="20" xfId="48" applyBorder="1" applyAlignment="1">
      <alignment horizontal="center"/>
      <protection locked="0"/>
    </xf>
    <xf numFmtId="0" fontId="44" fillId="45" borderId="19" xfId="48" applyBorder="1" applyAlignment="1">
      <alignment horizontal="center"/>
      <protection locked="0"/>
    </xf>
    <xf numFmtId="0" fontId="44" fillId="45" borderId="22" xfId="48" applyBorder="1" applyAlignment="1">
      <alignment horizontal="center"/>
      <protection locked="0"/>
    </xf>
    <xf numFmtId="0" fontId="44" fillId="45" borderId="21" xfId="48" applyBorder="1" applyAlignment="1">
      <alignment horizontal="center"/>
      <protection locked="0"/>
    </xf>
    <xf numFmtId="0" fontId="44" fillId="45" borderId="23" xfId="48" applyBorder="1" applyAlignment="1">
      <alignment horizontal="center"/>
      <protection locked="0"/>
    </xf>
    <xf numFmtId="0" fontId="0" fillId="0" borderId="0" xfId="0" quotePrefix="1"/>
    <xf numFmtId="0" fontId="8" fillId="10" borderId="1" xfId="9"/>
    <xf numFmtId="0" fontId="17" fillId="35" borderId="1" xfId="38"/>
    <xf numFmtId="0" fontId="0" fillId="0" borderId="0" xfId="0" applyAlignment="1">
      <alignment horizontal="right"/>
    </xf>
    <xf numFmtId="0" fontId="17" fillId="46" borderId="1" xfId="49" applyAlignment="1">
      <alignment horizontal="right"/>
      <protection locked="0"/>
    </xf>
    <xf numFmtId="0" fontId="0" fillId="0" borderId="0" xfId="0" applyAlignment="1">
      <alignment horizontal="left" textRotation="45"/>
    </xf>
    <xf numFmtId="49" fontId="4" fillId="4" borderId="1" xfId="3" applyAlignment="1">
      <alignment horizontal="left" textRotation="45"/>
    </xf>
    <xf numFmtId="49" fontId="22" fillId="32" borderId="1" xfId="34" applyAlignment="1">
      <alignment horizontal="left" textRotation="45"/>
    </xf>
    <xf numFmtId="49" fontId="5" fillId="5" borderId="1" xfId="4" applyAlignment="1">
      <alignment horizontal="left" textRotation="45"/>
    </xf>
    <xf numFmtId="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quotePrefix="1" applyAlignment="1">
      <alignment wrapText="1"/>
    </xf>
    <xf numFmtId="0" fontId="2" fillId="2" borderId="2" xfId="1" applyNumberFormat="1" applyBorder="1">
      <alignment horizontal="center" vertical="center"/>
    </xf>
    <xf numFmtId="0" fontId="2" fillId="2" borderId="3" xfId="1" applyNumberFormat="1" applyBorder="1">
      <alignment horizontal="center" vertical="center"/>
    </xf>
    <xf numFmtId="0" fontId="2" fillId="2" borderId="4" xfId="1" applyNumberFormat="1" applyBorder="1">
      <alignment horizontal="center" vertical="center"/>
    </xf>
    <xf numFmtId="0" fontId="2" fillId="2" borderId="1" xfId="1" applyNumberFormat="1">
      <alignment horizontal="center" vertical="center"/>
    </xf>
    <xf numFmtId="49" fontId="2" fillId="2" borderId="1" xfId="1">
      <alignment horizontal="center" vertical="center"/>
    </xf>
    <xf numFmtId="49" fontId="2" fillId="2" borderId="2" xfId="1" applyBorder="1">
      <alignment horizontal="center" vertical="center"/>
    </xf>
    <xf numFmtId="49" fontId="2" fillId="2" borderId="3" xfId="1" applyBorder="1">
      <alignment horizontal="center" vertical="center"/>
    </xf>
    <xf numFmtId="49" fontId="2" fillId="2" borderId="4" xfId="1" applyBorder="1">
      <alignment horizontal="center" vertical="center"/>
    </xf>
    <xf numFmtId="49" fontId="2" fillId="2" borderId="5" xfId="1" applyBorder="1">
      <alignment horizontal="center" vertical="center"/>
    </xf>
    <xf numFmtId="49" fontId="2" fillId="2" borderId="6" xfId="1" applyBorder="1">
      <alignment horizontal="center" vertical="center"/>
    </xf>
    <xf numFmtId="49" fontId="3" fillId="3" borderId="1" xfId="2" applyAlignment="1">
      <alignment horizontal="center"/>
      <protection locked="0"/>
    </xf>
    <xf numFmtId="49" fontId="3" fillId="3" borderId="2" xfId="2" applyBorder="1" applyAlignment="1">
      <alignment horizontal="center"/>
      <protection locked="0"/>
    </xf>
    <xf numFmtId="49" fontId="2" fillId="2" borderId="36" xfId="1" applyBorder="1">
      <alignment horizontal="center" vertical="center"/>
    </xf>
    <xf numFmtId="49" fontId="2" fillId="2" borderId="5" xfId="1" applyBorder="1" applyAlignment="1">
      <alignment horizontal="center" vertical="center"/>
    </xf>
    <xf numFmtId="49" fontId="2" fillId="2" borderId="36" xfId="1" applyBorder="1" applyAlignment="1">
      <alignment horizontal="center" vertical="center"/>
    </xf>
    <xf numFmtId="0" fontId="14" fillId="15" borderId="1" xfId="16" applyProtection="1">
      <alignment horizontal="center" vertical="center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63">
    <dxf>
      <numFmt numFmtId="0" formatCode="General"/>
    </dxf>
    <dxf>
      <border outline="0">
        <top style="thin">
          <color auto="1"/>
        </top>
      </border>
    </dxf>
    <dxf>
      <numFmt numFmtId="0" formatCode="General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alignment horizontal="left" vertical="bottom" textRotation="45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ternalTable" pivot="0" count="7" xr9:uid="{1F869E06-8D10-4872-B432-DA53BC3185A2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HeaderCell" dxfId="57"/>
      <tableStyleElement type="firstTotalCell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0</xdr:row>
          <xdr:rowOff>104775</xdr:rowOff>
        </xdr:from>
        <xdr:to>
          <xdr:col>25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tay4\source\repos\Git\OfficeLib\Excel%20Template.xltm" TargetMode="External"/><Relationship Id="rId1" Type="http://schemas.openxmlformats.org/officeDocument/2006/relationships/externalLinkPath" Target="/Users/johntay4/source/repos/Git/OfficeLib/Excel%20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Sheet1"/>
      <sheetName val="Excel Template"/>
    </sheetNames>
    <definedNames>
      <definedName name="UpdateStyles"/>
    </defined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55" headerRowCellStyle="Normal">
  <tableColumns count="17">
    <tableColumn id="1" xr3:uid="{80CF24FC-CC24-4BD1-8D18-599247DD5161}" name="Cell Name" totalsRowLabel="Total" dataDxfId="54"/>
    <tableColumn id="10" xr3:uid="{5BBB1371-2A50-4525-8AD0-93F3F87996BA}" name="StyleName" dataDxfId="53">
      <calculatedColumnFormula>KeyTable[[#This Row],[Class]]&amp;KeyTable[[#This Row],[Type]]</calculatedColumnFormula>
    </tableColumn>
    <tableColumn id="17" xr3:uid="{0DD8CF2B-4734-427B-B5ED-BCAD04F2CB7F}" name="Class" dataDxfId="52" totalsRowDxfId="51"/>
    <tableColumn id="18" xr3:uid="{08ABF727-51AC-46F2-8E04-42A19D2F541F}" name="Type" totalsRowDxfId="50"/>
    <tableColumn id="2" xr3:uid="{3412E2DF-7048-4C3D-98F4-73742484D56B}" name="Where Used" totalsRowDxfId="49"/>
    <tableColumn id="8" xr3:uid="{A8961507-4023-48E7-8E7D-B63DB84C0736}" name="Fmt Notes" totalsRowFunction="count" totalsRowDxfId="48"/>
    <tableColumn id="19" xr3:uid="{C2B6EA33-3A92-4D7E-B9D0-E85FE588B0B6}" name="Locked" dataDxfId="47" dataCellStyle="IntCell"/>
    <tableColumn id="9" xr3:uid="{8DEC6646-966F-4B11-A2AA-4E9F5AEDAC5E}" name="Font" dataDxfId="46" dataCellStyle="IntCell"/>
    <tableColumn id="12" xr3:uid="{BC70E6CA-D23D-4B26-9AF6-1613D2043594}" name="Fnt" dataDxfId="45" dataCellStyle="IntVal"/>
    <tableColumn id="11" xr3:uid="{E5F1817D-2118-4E73-BB3A-69FBFB1975EE}" name="Base" dataDxfId="44" totalsRowDxfId="43" dataCellStyle="IntVal"/>
    <tableColumn id="16" xr3:uid="{06213DAE-1831-451B-B9A1-F477FA5CCC86}" name="Pat" dataDxfId="42" totalsRowDxfId="41" dataCellStyle="IntVal"/>
    <tableColumn id="13" xr3:uid="{8DA91684-D3B6-417B-BAD4-F815378632C1}" name="BOv" dataDxfId="40" totalsRowDxfId="39" dataCellStyle="IntVal"/>
    <tableColumn id="14" xr3:uid="{49F6951D-69E6-4E9A-8DBD-A33B021A7B0B}" name="FOv" dataDxfId="38" totalsRowDxfId="37" dataCellStyle="IntVal"/>
    <tableColumn id="15" xr3:uid="{CBA89FEA-2D0C-499A-8AC2-D780503FF4B0}" name="POv" dataDxfId="36" totalsRowDxfId="35" dataCellStyle="IntVal"/>
    <tableColumn id="5" xr3:uid="{D16FC71D-C720-4657-B20B-4E1F662AA901}" name="BgClr" dataDxfId="34" totalsRowDxfId="33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32" totalsRowDxfId="31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30" totalsRowDxfId="29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28" tableBorderDxfId="27" headerRowCellStyle="Normal">
  <tableColumns count="1">
    <tableColumn id="1" xr3:uid="{F1F7BA17-C86A-48DF-B56F-AEF39628F81B}" name="Bool" dataDxfId="26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25" headerRowCellStyle="Normal">
  <tableColumns count="1">
    <tableColumn id="1" xr3:uid="{DADB04D9-D30A-40D8-874E-5716566B8F8A}" name="YN" dataDxfId="24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X3" totalsRowShown="0" dataDxfId="23" tableBorderDxfId="22" headerRowCellStyle="Normal">
  <tableColumns count="3">
    <tableColumn id="1" xr3:uid="{CAEA47A7-82FC-4581-9D66-C205FDB4B631}" name="Cell Title" dataDxfId="21"/>
    <tableColumn id="2" xr3:uid="{806557F3-DE29-4911-A4D0-72AFDE4E4EAE}" name="Headers" dataDxfId="20"/>
    <tableColumn id="3" xr3:uid="{327D49A8-2B32-4CB5-B930-E8C51384F160}" name="Cells" dataDxfId="19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A2:AD3" totalsRowShown="0" tableBorderDxfId="18" headerRowCellStyle="Normal">
  <tableColumns count="4">
    <tableColumn id="1" xr3:uid="{AA36FA2B-ECA5-4506-801D-742C3C40D021}" name="Head" dataCellStyle="Normal"/>
    <tableColumn id="2" xr3:uid="{A76D090D-69D3-4D88-B53C-00EC2EDF41B6}" name="Body" dataDxfId="17" dataCellStyle="Normal"/>
    <tableColumn id="3" xr3:uid="{774BD5FF-24C8-4D33-B060-95F39D95A833}" name="Mono" dataCellStyle="xMono"/>
    <tableColumn id="4" xr3:uid="{42346073-B71A-45EB-9ABB-F85EF4BA7070}" name="Cond" dataDxfId="16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F2:AI9" totalsRowShown="0" tableBorderDxfId="15" headerRowCellStyle="Normal">
  <autoFilter ref="AF2:AI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1C4C83-FDEC-4612-970C-44E01FA53B95}" name="CmdTable" displayName="CmdTable" ref="A2:R20" totalsRowShown="0" headerRowDxfId="14" tableBorderDxfId="13">
  <autoFilter ref="A2:R20" xr:uid="{DA1C4C83-FDEC-4612-970C-44E01FA53B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2155C7C3-8990-4CFE-8C20-5AD0AEC9380F}" name="Command" dataDxfId="12">
      <calculatedColumnFormula>CmdTable[[#This Row],[Column12]]</calculatedColumnFormula>
    </tableColumn>
    <tableColumn id="2" xr3:uid="{92F3B901-784E-4428-B4BB-DA7630832753}" name="IsEscaped"/>
    <tableColumn id="3" xr3:uid="{4D2F19B8-ED90-4351-A005-95D3471F3BF5}" name="IsShifted"/>
    <tableColumn id="4" xr3:uid="{BADF7DD6-66F1-4A6D-9C46-1874DD89F722}" name="ReqMode"/>
    <tableColumn id="5" xr3:uid="{141D0C5C-63E2-420E-988A-50CE40F33731}" name="Type"/>
    <tableColumn id="6" xr3:uid="{04E890B2-BC7E-45FD-87E8-B94D429D15C0}" name="Letter"/>
    <tableColumn id="17" xr3:uid="{34A5A120-541F-46FB-9BE8-CD0E2DACA14D}" name="ForceField1"/>
    <tableColumn id="7" xr3:uid="{A19970DA-A79B-489B-87A8-439D1942E132}" name="FieldsMin"/>
    <tableColumn id="9" xr3:uid="{50E62CDA-3D61-48B3-A429-BAAF9662061B}" name="FieldsMax" dataCellStyle="IntCell"/>
    <tableColumn id="8" xr3:uid="{A7048C94-DBBE-4D70-BFB5-9CDA5F6F73CC}" name="FieldFmt" dataDxfId="11" dataCellStyle="LkpCell"/>
    <tableColumn id="10" xr3:uid="{226FCDD6-F185-45D5-8A64-E070E8ACD228}" name="Column10" dataDxfId="10" dataCellStyle="CalcCell">
      <calculatedColumnFormula>SUBSTITUTE(CmdTable[[#This Row],[FieldFmt]], "%L", CmdTable[[#This Row],[Letter]])</calculatedColumnFormula>
    </tableColumn>
    <tableColumn id="11" xr3:uid="{DAB4009D-0062-4F16-8239-20AA5E686D14}" name="Column11" dataDxfId="9" dataCellStyle="CalcCell">
      <calculatedColumnFormula>SUBSTITUTE(CmdTable[[#This Row],[Column10]], "%V", "XX", 1)</calculatedColumnFormula>
    </tableColumn>
    <tableColumn id="18" xr3:uid="{F330EF6F-21EA-485E-9673-FB970150DB96}" name="Column112" dataDxfId="8" dataCellStyle="CalcCell">
      <calculatedColumnFormula>SUBSTITUTE(CmdTable[[#This Row],[Column11]], "%V", "YY", 1)</calculatedColumnFormula>
    </tableColumn>
    <tableColumn id="12" xr3:uid="{00506DBE-D42C-4C56-B46E-9C10939BA99A}" name="Column12" dataDxfId="7" dataCellStyle="CalcCell">
      <calculatedColumnFormula>SUBSTITUTE(CmdTable[[#This Row],[Column112]], "%F", CmdTable[[#This Row],[ForceField1]])</calculatedColumnFormula>
    </tableColumn>
    <tableColumn id="13" xr3:uid="{D246E13B-9541-47EA-AE40-7BD821163CE7}" name="Column13" dataCellStyle="CalcCell"/>
    <tableColumn id="14" xr3:uid="{D5DB0C69-50C0-43DD-BA37-DDA99BEB22E2}" name="Column14" dataCellStyle="CalcCell"/>
    <tableColumn id="15" xr3:uid="{08797234-2596-4B08-877F-7C83FEC0E59D}" name="EscHelper" dataDxfId="6" dataCellStyle="CalcCell">
      <calculatedColumnFormula>IF(CmdTable[[#This Row],[IsEscaped]], "&lt;ESC&gt;", "")</calculatedColumnFormula>
    </tableColumn>
    <tableColumn id="16" xr3:uid="{714E01D9-99A0-4826-9257-D4B22CAA4110}" name="ShiftHelper" dataDxfId="5" dataCellStyle="CalcCell">
      <calculatedColumnFormula>IF(CmdTable[[#This Row],[IsShifted]], "&lt;SI&gt;", "")</calculatedColumnFormula>
    </tableColumn>
  </tableColumns>
  <tableStyleInfo name="InternalTable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C21BDC-485F-4D7B-BBB0-5237EF468428}" name="FieldFmtTable" displayName="FieldFmtTable" ref="T2:U10" totalsRowShown="0">
  <autoFilter ref="T2:U10" xr:uid="{50C21BDC-485F-4D7B-BBB0-5237EF468428}">
    <filterColumn colId="0" hiddenButton="1"/>
    <filterColumn colId="1" hiddenButton="1"/>
  </autoFilter>
  <tableColumns count="2">
    <tableColumn id="1" xr3:uid="{5407ECF3-1BCD-49F2-873E-2A029EA7ADB4}" name="Fields" dataDxfId="4"/>
    <tableColumn id="2" xr3:uid="{501653CB-5C66-4A2E-926B-D8E9A335D4C3}" name="Fmt"/>
  </tableColumns>
  <tableStyleInfo name="Internal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FB5647-A3F5-48BC-85E4-00B857073A70}" name="TokenLookupTable" displayName="TokenLookupTable" ref="A2:B17" totalsRowShown="0" tableBorderDxfId="3">
  <autoFilter ref="A2:B17" xr:uid="{C5FB5647-A3F5-48BC-85E4-00B857073A70}">
    <filterColumn colId="0" hiddenButton="1"/>
    <filterColumn colId="1" hiddenButton="1"/>
  </autoFilter>
  <tableColumns count="2">
    <tableColumn id="1" xr3:uid="{260F432E-03B7-4D13-8021-2F08D5743545}" name="Type"/>
    <tableColumn id="4" xr3:uid="{D6C8B56A-BC3B-4C57-A285-881ECAB2130C}" name="Lookup" dataDxfId="2" dataCellStyle="CalcCell">
      <calculatedColumnFormula>SUBSTITUTE(LookupTypeName, "$type$", TokenLookupTable[[#This Row],[Type]])</calculatedColumnFormula>
    </tableColumn>
  </tableColumns>
  <tableStyleInfo name="Internal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6DA3E7-2BBB-4F78-AFBE-062425527C39}" name="TokenCompatTable" displayName="TokenCompatTable" ref="D2:J16" totalsRowShown="0" tableBorderDxfId="1">
  <autoFilter ref="D2:J16" xr:uid="{EA6DA3E7-2BBB-4F78-AFBE-062425527C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463B672-BCB4-4B23-8652-BD39567AF16D}" name="Type"/>
    <tableColumn id="2" xr3:uid="{540AB1A0-6FE4-4522-ABC1-C06C50D69176}" name="Alias1"/>
    <tableColumn id="3" xr3:uid="{E6F88880-BB2E-46B5-A5F5-66F075050E94}" name="Alias2"/>
    <tableColumn id="4" xr3:uid="{40BCCDA6-81B5-4634-B66E-79B00DD94CC8}" name="Alias3"/>
    <tableColumn id="5" xr3:uid="{93DD0B84-870C-40DC-8288-CF346CC3807D}" name="Alias4"/>
    <tableColumn id="6" xr3:uid="{22B98BB2-862C-4C0D-9930-2B19A5932DDA}" name="Alias5"/>
    <tableColumn id="7" xr3:uid="{F80CA81B-52E2-414A-A0CA-0B3C1CDFF31D}" name="Compat" dataDxfId="0" dataCellStyle="CalcCell">
      <calculatedColumnFormula>_xlfn.LET(
_xlpm.types, _xlfn.TEXTJOIN(",", TRUE, TokenCompatTable[[#This Row],[Alias1]:[Alias5]]),
_xlpm.step1, SUBSTITUTE(TokenCompat, "$type$", TokenCompatTable[[#This Row],[Type]]),
_xlpm.step2, SUBSTITUTE(_xlpm.step1, "$types$", _xlpm.types), _xlpm.step2)</calculatedColumnFormula>
    </tableColumn>
  </tableColumns>
  <tableStyleInfo name="InternalTable" showFirstColumn="0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N83"/>
  <sheetViews>
    <sheetView zoomScaleNormal="100" workbookViewId="0">
      <selection activeCell="S13" sqref="S13"/>
    </sheetView>
  </sheetViews>
  <sheetFormatPr defaultRowHeight="14.25" customHeight="1" x14ac:dyDescent="0.2"/>
  <cols>
    <col min="1" max="1" width="20.44140625" bestFit="1" customWidth="1"/>
    <col min="2" max="2" width="9.44140625" bestFit="1" customWidth="1"/>
    <col min="3" max="3" width="5.109375" bestFit="1" customWidth="1"/>
    <col min="4" max="4" width="6.5546875" bestFit="1" customWidth="1"/>
    <col min="5" max="5" width="24.77734375" bestFit="1" customWidth="1"/>
    <col min="6" max="6" width="21.33203125" bestFit="1" customWidth="1"/>
    <col min="7" max="7" width="7" bestFit="1" customWidth="1"/>
    <col min="8" max="8" width="13.44140625" bestFit="1" customWidth="1"/>
    <col min="9" max="9" width="3.33203125" bestFit="1" customWidth="1"/>
    <col min="10" max="10" width="4.77734375" bestFit="1" customWidth="1"/>
    <col min="11" max="11" width="3.44140625" bestFit="1" customWidth="1"/>
    <col min="12" max="12" width="4.109375" bestFit="1" customWidth="1"/>
    <col min="13" max="13" width="3.88671875" bestFit="1" customWidth="1"/>
    <col min="14" max="14" width="4" bestFit="1" customWidth="1"/>
    <col min="15" max="17" width="5.21875" bestFit="1" customWidth="1"/>
    <col min="18" max="18" width="3.6640625" customWidth="1"/>
    <col min="19" max="19" width="6" bestFit="1" customWidth="1"/>
    <col min="20" max="20" width="3.6640625" bestFit="1" customWidth="1"/>
    <col min="21" max="21" width="3.6640625" customWidth="1"/>
    <col min="22" max="22" width="7.33203125" bestFit="1" customWidth="1"/>
    <col min="23" max="23" width="7.21875" bestFit="1" customWidth="1"/>
    <col min="24" max="24" width="4.6640625" bestFit="1" customWidth="1"/>
    <col min="25" max="26" width="11.6640625" customWidth="1"/>
    <col min="27" max="28" width="9.5546875" bestFit="1" customWidth="1"/>
    <col min="29" max="29" width="15.109375" bestFit="1" customWidth="1"/>
    <col min="30" max="30" width="13.44140625" bestFit="1" customWidth="1"/>
    <col min="31" max="31" width="3.6640625" customWidth="1"/>
    <col min="32" max="32" width="8.6640625" bestFit="1" customWidth="1"/>
    <col min="33" max="33" width="12.5546875" bestFit="1" customWidth="1"/>
    <col min="34" max="34" width="8.44140625" bestFit="1" customWidth="1"/>
    <col min="35" max="35" width="7.44140625" bestFit="1" customWidth="1"/>
    <col min="37" max="37" width="12.5546875" bestFit="1" customWidth="1"/>
    <col min="38" max="38" width="15.77734375" bestFit="1" customWidth="1"/>
    <col min="39" max="39" width="20.21875" bestFit="1" customWidth="1"/>
    <col min="40" max="40" width="23.77734375" bestFit="1" customWidth="1"/>
  </cols>
  <sheetData>
    <row r="1" spans="1:40" ht="19.5" x14ac:dyDescent="0.2">
      <c r="A1" s="174" t="s">
        <v>195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6"/>
      <c r="S1" s="174" t="s">
        <v>0</v>
      </c>
      <c r="T1" s="175"/>
      <c r="V1" s="177" t="s">
        <v>1</v>
      </c>
      <c r="W1" s="178"/>
      <c r="X1" s="178"/>
      <c r="Y1" s="179"/>
      <c r="Z1" s="179"/>
      <c r="AA1" s="169" t="s">
        <v>194</v>
      </c>
      <c r="AB1" s="170"/>
      <c r="AC1" s="170"/>
      <c r="AD1" s="171"/>
      <c r="AF1" s="172" t="s">
        <v>2</v>
      </c>
      <c r="AG1" s="172"/>
      <c r="AH1" s="172"/>
      <c r="AI1" s="172"/>
      <c r="AK1" s="173" t="s">
        <v>180</v>
      </c>
      <c r="AL1" s="173"/>
      <c r="AM1" s="173"/>
      <c r="AN1" s="173"/>
    </row>
    <row r="2" spans="1:40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s="179"/>
      <c r="Z2" s="180"/>
      <c r="AA2" t="s">
        <v>25</v>
      </c>
      <c r="AB2" t="s">
        <v>26</v>
      </c>
      <c r="AC2" t="s">
        <v>27</v>
      </c>
      <c r="AD2" t="s">
        <v>28</v>
      </c>
      <c r="AF2" t="s">
        <v>6</v>
      </c>
      <c r="AG2" t="s">
        <v>4</v>
      </c>
      <c r="AH2" t="s">
        <v>29</v>
      </c>
      <c r="AI2" t="s">
        <v>30</v>
      </c>
      <c r="AK2" s="82" t="s">
        <v>172</v>
      </c>
      <c r="AL2" s="96" t="s">
        <v>181</v>
      </c>
      <c r="AM2" s="83" t="s">
        <v>182</v>
      </c>
      <c r="AN2" s="84" t="s">
        <v>183</v>
      </c>
    </row>
    <row r="3" spans="1:40" ht="15" x14ac:dyDescent="0.25">
      <c r="A3" s="3" t="s">
        <v>31</v>
      </c>
      <c r="B3" s="101" t="str">
        <f>KeyTable[[#This Row],[Class]]&amp;KeyTable[[#This Row],[Type]]</f>
        <v>CalcHdKey</v>
      </c>
      <c r="C3" t="s">
        <v>32</v>
      </c>
      <c r="D3" t="s">
        <v>33</v>
      </c>
      <c r="E3" t="s">
        <v>34</v>
      </c>
      <c r="F3" t="s">
        <v>35</v>
      </c>
      <c r="G3" s="2" t="b">
        <v>1</v>
      </c>
      <c r="H3" s="2" t="s">
        <v>36</v>
      </c>
      <c r="I3" s="143" t="s">
        <v>37</v>
      </c>
      <c r="J3" s="144" t="s">
        <v>38</v>
      </c>
      <c r="K3" s="144"/>
      <c r="L3" s="143"/>
      <c r="M3" s="144"/>
      <c r="N3" s="145"/>
      <c r="O3" s="4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5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6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2" t="b">
        <v>1</v>
      </c>
      <c r="T3" s="2" t="s">
        <v>39</v>
      </c>
      <c r="V3" s="2">
        <v>16</v>
      </c>
      <c r="W3" s="2">
        <v>11</v>
      </c>
      <c r="X3" s="2">
        <v>11</v>
      </c>
      <c r="Y3" s="179"/>
      <c r="Z3" s="180"/>
      <c r="AA3" t="s">
        <v>36</v>
      </c>
      <c r="AB3" s="7" t="s">
        <v>36</v>
      </c>
      <c r="AC3" s="8" t="s">
        <v>40</v>
      </c>
      <c r="AD3" s="9" t="s">
        <v>41</v>
      </c>
      <c r="AF3" t="s">
        <v>42</v>
      </c>
      <c r="AG3" t="s">
        <v>43</v>
      </c>
      <c r="AH3" t="s">
        <v>44</v>
      </c>
      <c r="AI3" t="s">
        <v>45</v>
      </c>
      <c r="AK3" s="85" t="s">
        <v>184</v>
      </c>
      <c r="AL3" s="97" t="s">
        <v>185</v>
      </c>
      <c r="AM3" s="86" t="s">
        <v>186</v>
      </c>
      <c r="AN3" s="87" t="s">
        <v>187</v>
      </c>
    </row>
    <row r="4" spans="1:40" ht="15" x14ac:dyDescent="0.25">
      <c r="A4" s="10" t="s">
        <v>46</v>
      </c>
      <c r="B4" s="102" t="str">
        <f>KeyTable[[#This Row],[Class]]&amp;KeyTable[[#This Row],[Type]]</f>
        <v>CalcHd</v>
      </c>
      <c r="C4" t="s">
        <v>32</v>
      </c>
      <c r="D4" t="s">
        <v>47</v>
      </c>
      <c r="E4" t="s">
        <v>34</v>
      </c>
      <c r="F4" t="s">
        <v>35</v>
      </c>
      <c r="G4" s="2" t="b">
        <v>1</v>
      </c>
      <c r="H4" s="2" t="s">
        <v>36</v>
      </c>
      <c r="I4" s="143" t="s">
        <v>37</v>
      </c>
      <c r="J4" s="144" t="s">
        <v>48</v>
      </c>
      <c r="K4" s="144"/>
      <c r="L4" s="143" t="s">
        <v>49</v>
      </c>
      <c r="M4" s="144"/>
      <c r="N4" s="145"/>
      <c r="O4" s="4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5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1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2" t="b">
        <v>0</v>
      </c>
      <c r="T4" s="2" t="s">
        <v>50</v>
      </c>
      <c r="AF4" t="s">
        <v>51</v>
      </c>
      <c r="AG4" t="s">
        <v>52</v>
      </c>
      <c r="AH4" t="s">
        <v>53</v>
      </c>
      <c r="AI4" t="s">
        <v>54</v>
      </c>
      <c r="AK4" s="85" t="s">
        <v>188</v>
      </c>
      <c r="AL4" s="98" t="s">
        <v>189</v>
      </c>
      <c r="AM4" s="88" t="s">
        <v>190</v>
      </c>
      <c r="AN4" s="89" t="s">
        <v>191</v>
      </c>
    </row>
    <row r="5" spans="1:40" ht="15" x14ac:dyDescent="0.25">
      <c r="A5" s="12" t="s">
        <v>55</v>
      </c>
      <c r="B5" s="103" t="str">
        <f>KeyTable[[#This Row],[Class]]&amp;KeyTable[[#This Row],[Type]]</f>
        <v>CalcKey</v>
      </c>
      <c r="C5" t="s">
        <v>32</v>
      </c>
      <c r="D5" t="s">
        <v>56</v>
      </c>
      <c r="E5" t="s">
        <v>57</v>
      </c>
      <c r="G5" s="2" t="b">
        <v>1</v>
      </c>
      <c r="H5" s="2" t="s">
        <v>36</v>
      </c>
      <c r="I5" s="143" t="s">
        <v>38</v>
      </c>
      <c r="J5" s="144" t="s">
        <v>58</v>
      </c>
      <c r="K5" s="144"/>
      <c r="L5" s="143" t="s">
        <v>59</v>
      </c>
      <c r="M5" s="144"/>
      <c r="N5" s="145"/>
      <c r="O5" s="4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5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1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5" t="s">
        <v>60</v>
      </c>
      <c r="AG5" t="s">
        <v>61</v>
      </c>
      <c r="AH5" t="s">
        <v>62</v>
      </c>
      <c r="AI5" t="s">
        <v>63</v>
      </c>
      <c r="AK5" s="90" t="s">
        <v>192</v>
      </c>
      <c r="AL5" s="99" t="s">
        <v>192</v>
      </c>
      <c r="AM5" s="91" t="s">
        <v>192</v>
      </c>
      <c r="AN5" s="92" t="s">
        <v>193</v>
      </c>
    </row>
    <row r="6" spans="1:40" ht="15" x14ac:dyDescent="0.25">
      <c r="A6" s="11" t="s">
        <v>64</v>
      </c>
      <c r="B6" s="104" t="str">
        <f>KeyTable[[#This Row],[Class]]&amp;KeyTable[[#This Row],[Type]]</f>
        <v>CalcVal</v>
      </c>
      <c r="C6" t="s">
        <v>32</v>
      </c>
      <c r="D6" t="s">
        <v>65</v>
      </c>
      <c r="E6" t="s">
        <v>57</v>
      </c>
      <c r="F6" t="s">
        <v>178</v>
      </c>
      <c r="G6" s="2" t="b">
        <v>1</v>
      </c>
      <c r="H6" s="93" t="s">
        <v>40</v>
      </c>
      <c r="I6" s="143" t="s">
        <v>38</v>
      </c>
      <c r="J6" s="144" t="s">
        <v>58</v>
      </c>
      <c r="K6" s="144"/>
      <c r="L6" s="143" t="s">
        <v>66</v>
      </c>
      <c r="M6" s="144"/>
      <c r="N6" s="145"/>
      <c r="O6" s="4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5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1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2"/>
      <c r="AF6" t="s">
        <v>67</v>
      </c>
      <c r="AG6" t="s">
        <v>68</v>
      </c>
      <c r="AH6" t="s">
        <v>69</v>
      </c>
      <c r="AI6" t="s">
        <v>70</v>
      </c>
    </row>
    <row r="7" spans="1:40" ht="15.75" thickBot="1" x14ac:dyDescent="0.3">
      <c r="A7" s="13" t="s">
        <v>71</v>
      </c>
      <c r="B7" s="13" t="str">
        <f>KeyTable[[#This Row],[Class]]&amp;KeyTable[[#This Row],[Type]]</f>
        <v>CalcCell</v>
      </c>
      <c r="C7" t="s">
        <v>32</v>
      </c>
      <c r="D7" t="s">
        <v>72</v>
      </c>
      <c r="E7" s="14" t="s">
        <v>57</v>
      </c>
      <c r="F7" s="14"/>
      <c r="G7" s="15" t="b">
        <v>1</v>
      </c>
      <c r="H7" s="15" t="s">
        <v>36</v>
      </c>
      <c r="I7" s="146" t="s">
        <v>38</v>
      </c>
      <c r="J7" s="147" t="s">
        <v>58</v>
      </c>
      <c r="K7" s="147"/>
      <c r="L7" s="146" t="s">
        <v>73</v>
      </c>
      <c r="M7" s="147"/>
      <c r="N7" s="148"/>
      <c r="O7" s="16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7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8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7" t="s">
        <v>74</v>
      </c>
      <c r="AG7" t="s">
        <v>75</v>
      </c>
      <c r="AH7" t="s">
        <v>76</v>
      </c>
      <c r="AI7" t="s">
        <v>77</v>
      </c>
    </row>
    <row r="8" spans="1:40" ht="15" x14ac:dyDescent="0.25">
      <c r="A8" s="19" t="s">
        <v>78</v>
      </c>
      <c r="B8" s="105" t="str">
        <f>KeyTable[[#This Row],[Class]]&amp;KeyTable[[#This Row],[Type]]</f>
        <v>DeacHdKey</v>
      </c>
      <c r="C8" t="s">
        <v>79</v>
      </c>
      <c r="D8" t="s">
        <v>33</v>
      </c>
      <c r="E8" t="s">
        <v>34</v>
      </c>
      <c r="F8" t="s">
        <v>80</v>
      </c>
      <c r="G8" s="2" t="b">
        <v>1</v>
      </c>
      <c r="H8" s="2" t="s">
        <v>36</v>
      </c>
      <c r="I8" s="143" t="s">
        <v>37</v>
      </c>
      <c r="J8" s="144" t="s">
        <v>38</v>
      </c>
      <c r="K8" s="144" t="s">
        <v>38</v>
      </c>
      <c r="L8" s="149"/>
      <c r="M8" s="150" t="s">
        <v>59</v>
      </c>
      <c r="N8" s="151" t="s">
        <v>81</v>
      </c>
      <c r="O8" s="20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1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2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F8" t="s">
        <v>82</v>
      </c>
      <c r="AG8" t="s">
        <v>83</v>
      </c>
      <c r="AH8" t="s">
        <v>84</v>
      </c>
      <c r="AI8" t="s">
        <v>85</v>
      </c>
    </row>
    <row r="9" spans="1:40" ht="15" x14ac:dyDescent="0.25">
      <c r="A9" s="23" t="s">
        <v>86</v>
      </c>
      <c r="B9" s="106" t="str">
        <f>KeyTable[[#This Row],[Class]]&amp;KeyTable[[#This Row],[Type]]</f>
        <v>DeacHd</v>
      </c>
      <c r="C9" t="s">
        <v>79</v>
      </c>
      <c r="D9" t="s">
        <v>47</v>
      </c>
      <c r="E9" t="s">
        <v>34</v>
      </c>
      <c r="F9" t="s">
        <v>35</v>
      </c>
      <c r="G9" s="2" t="b">
        <v>1</v>
      </c>
      <c r="H9" s="2" t="s">
        <v>36</v>
      </c>
      <c r="I9" s="143" t="s">
        <v>48</v>
      </c>
      <c r="J9" s="144" t="s">
        <v>48</v>
      </c>
      <c r="K9" s="144"/>
      <c r="L9" s="143"/>
      <c r="M9" s="144" t="s">
        <v>87</v>
      </c>
      <c r="N9" s="145"/>
      <c r="O9" s="4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5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5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F9" t="s">
        <v>88</v>
      </c>
      <c r="AG9" t="s">
        <v>89</v>
      </c>
      <c r="AH9" t="s">
        <v>90</v>
      </c>
      <c r="AI9" t="s">
        <v>91</v>
      </c>
    </row>
    <row r="10" spans="1:40" ht="15" x14ac:dyDescent="0.25">
      <c r="A10" s="24" t="s">
        <v>92</v>
      </c>
      <c r="B10" s="107" t="str">
        <f>KeyTable[[#This Row],[Class]]&amp;KeyTable[[#This Row],[Type]]</f>
        <v>DeacCell</v>
      </c>
      <c r="C10" t="s">
        <v>79</v>
      </c>
      <c r="D10" t="s">
        <v>72</v>
      </c>
      <c r="E10" t="s">
        <v>93</v>
      </c>
      <c r="G10" s="2" t="b">
        <v>1</v>
      </c>
      <c r="H10" s="2" t="s">
        <v>36</v>
      </c>
      <c r="I10" s="143" t="s">
        <v>37</v>
      </c>
      <c r="J10" s="144" t="s">
        <v>37</v>
      </c>
      <c r="K10" s="144"/>
      <c r="L10" s="143" t="s">
        <v>81</v>
      </c>
      <c r="M10" s="144" t="s">
        <v>59</v>
      </c>
      <c r="N10" s="145"/>
      <c r="O10" s="4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5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5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0" ht="15.75" thickBot="1" x14ac:dyDescent="0.3">
      <c r="A11" s="25" t="s">
        <v>94</v>
      </c>
      <c r="B11" s="108" t="str">
        <f>KeyTable[[#This Row],[Class]]&amp;KeyTable[[#This Row],[Type]]</f>
        <v>ActDeac</v>
      </c>
      <c r="C11" t="s">
        <v>95</v>
      </c>
      <c r="D11" t="s">
        <v>79</v>
      </c>
      <c r="E11" s="14" t="s">
        <v>93</v>
      </c>
      <c r="F11" s="14" t="s">
        <v>96</v>
      </c>
      <c r="G11" s="15" t="b">
        <v>1</v>
      </c>
      <c r="H11" s="15" t="s">
        <v>36</v>
      </c>
      <c r="I11" s="146" t="s">
        <v>37</v>
      </c>
      <c r="J11" s="147" t="s">
        <v>37</v>
      </c>
      <c r="K11" s="147" t="s">
        <v>48</v>
      </c>
      <c r="L11" s="146"/>
      <c r="M11" s="147"/>
      <c r="N11" s="148" t="s">
        <v>49</v>
      </c>
      <c r="O11" s="16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7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7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0" ht="15" x14ac:dyDescent="0.25">
      <c r="A12" s="26" t="s">
        <v>97</v>
      </c>
      <c r="B12" s="109" t="str">
        <f>KeyTable[[#This Row],[Class]]&amp;KeyTable[[#This Row],[Type]]</f>
        <v>BoxTitle</v>
      </c>
      <c r="C12" t="s">
        <v>82</v>
      </c>
      <c r="D12" t="s">
        <v>98</v>
      </c>
      <c r="E12" t="s">
        <v>99</v>
      </c>
      <c r="F12" t="s">
        <v>100</v>
      </c>
      <c r="G12" s="2" t="b">
        <v>1</v>
      </c>
      <c r="H12" s="2" t="s">
        <v>36</v>
      </c>
      <c r="I12" s="143" t="s">
        <v>101</v>
      </c>
      <c r="J12" s="144" t="s">
        <v>101</v>
      </c>
      <c r="K12" s="144"/>
      <c r="L12" s="149" t="s">
        <v>102</v>
      </c>
      <c r="M12" s="150"/>
      <c r="N12" s="151"/>
      <c r="O12" s="20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1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1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0" ht="15" x14ac:dyDescent="0.25">
      <c r="A13" s="27" t="s">
        <v>103</v>
      </c>
      <c r="B13" s="110" t="str">
        <f>KeyTable[[#This Row],[Class]]&amp;KeyTable[[#This Row],[Type]]</f>
        <v>BoxHdKey</v>
      </c>
      <c r="C13" t="s">
        <v>82</v>
      </c>
      <c r="D13" t="s">
        <v>33</v>
      </c>
      <c r="E13" t="s">
        <v>99</v>
      </c>
      <c r="F13" t="s">
        <v>104</v>
      </c>
      <c r="G13" s="2" t="b">
        <v>1</v>
      </c>
      <c r="H13" s="2" t="s">
        <v>36</v>
      </c>
      <c r="I13" s="143" t="s">
        <v>101</v>
      </c>
      <c r="J13" s="144" t="s">
        <v>101</v>
      </c>
      <c r="K13" s="144"/>
      <c r="L13" s="143"/>
      <c r="M13" s="144"/>
      <c r="N13" s="145"/>
      <c r="O13" s="4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5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1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0" ht="15" x14ac:dyDescent="0.25">
      <c r="A14" s="28" t="s">
        <v>105</v>
      </c>
      <c r="B14" s="28" t="str">
        <f>KeyTable[[#This Row],[Class]]&amp;KeyTable[[#This Row],[Type]]</f>
        <v>BoxHd</v>
      </c>
      <c r="C14" t="s">
        <v>82</v>
      </c>
      <c r="D14" t="s">
        <v>47</v>
      </c>
      <c r="E14" t="s">
        <v>99</v>
      </c>
      <c r="F14" t="s">
        <v>104</v>
      </c>
      <c r="G14" s="2" t="b">
        <v>1</v>
      </c>
      <c r="H14" s="2" t="s">
        <v>36</v>
      </c>
      <c r="I14" s="143" t="s">
        <v>101</v>
      </c>
      <c r="J14" s="144" t="s">
        <v>101</v>
      </c>
      <c r="K14" s="144"/>
      <c r="L14" s="143"/>
      <c r="M14" s="144"/>
      <c r="N14" s="145"/>
      <c r="O14" s="4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5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1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0" ht="15" x14ac:dyDescent="0.25">
      <c r="A15" s="29" t="s">
        <v>106</v>
      </c>
      <c r="B15" s="111" t="str">
        <f>KeyTable[[#This Row],[Class]]&amp;KeyTable[[#This Row],[Type]]</f>
        <v>BoxKey</v>
      </c>
      <c r="C15" t="s">
        <v>82</v>
      </c>
      <c r="D15" t="s">
        <v>56</v>
      </c>
      <c r="E15" s="30" t="s">
        <v>107</v>
      </c>
      <c r="F15" s="30" t="s">
        <v>108</v>
      </c>
      <c r="G15" s="31" t="s">
        <v>109</v>
      </c>
      <c r="H15" s="31" t="s">
        <v>36</v>
      </c>
      <c r="I15" s="152" t="s">
        <v>101</v>
      </c>
      <c r="J15" s="153" t="s">
        <v>101</v>
      </c>
      <c r="K15" s="153"/>
      <c r="L15" s="152"/>
      <c r="M15" s="153" t="s">
        <v>102</v>
      </c>
      <c r="N15" s="145"/>
      <c r="O15" s="4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5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1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0" ht="15" x14ac:dyDescent="0.25">
      <c r="A16" s="32" t="s">
        <v>110</v>
      </c>
      <c r="B16" s="112" t="str">
        <f>KeyTable[[#This Row],[Class]]&amp;KeyTable[[#This Row],[Type]]</f>
        <v>BoxVal</v>
      </c>
      <c r="C16" t="s">
        <v>82</v>
      </c>
      <c r="D16" t="s">
        <v>65</v>
      </c>
      <c r="E16" t="s">
        <v>99</v>
      </c>
      <c r="F16" t="s">
        <v>197</v>
      </c>
      <c r="G16" s="2" t="s">
        <v>109</v>
      </c>
      <c r="H16" s="93" t="s">
        <v>40</v>
      </c>
      <c r="I16" s="143" t="s">
        <v>101</v>
      </c>
      <c r="J16" s="144" t="s">
        <v>101</v>
      </c>
      <c r="K16" s="144"/>
      <c r="L16" s="143" t="s">
        <v>111</v>
      </c>
      <c r="M16" s="144" t="s">
        <v>102</v>
      </c>
      <c r="N16" s="145"/>
      <c r="O16" s="4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5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1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3" t="s">
        <v>112</v>
      </c>
      <c r="B17" s="113" t="str">
        <f>KeyTable[[#This Row],[Class]]&amp;KeyTable[[#This Row],[Type]]</f>
        <v>BoxCell</v>
      </c>
      <c r="C17" t="s">
        <v>82</v>
      </c>
      <c r="D17" t="s">
        <v>72</v>
      </c>
      <c r="E17" s="30" t="s">
        <v>107</v>
      </c>
      <c r="F17" s="30" t="s">
        <v>108</v>
      </c>
      <c r="G17" s="31" t="s">
        <v>109</v>
      </c>
      <c r="H17" s="31" t="s">
        <v>36</v>
      </c>
      <c r="I17" s="152" t="s">
        <v>101</v>
      </c>
      <c r="J17" s="153" t="s">
        <v>101</v>
      </c>
      <c r="K17" s="153"/>
      <c r="L17" s="152" t="s">
        <v>113</v>
      </c>
      <c r="M17" s="153" t="s">
        <v>102</v>
      </c>
      <c r="N17" s="145"/>
      <c r="O17" s="4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5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1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4" t="s">
        <v>114</v>
      </c>
      <c r="B18" s="114" t="str">
        <f>KeyTable[[#This Row],[Class]]&amp;KeyTable[[#This Row],[Type]]</f>
        <v>ActBox</v>
      </c>
      <c r="C18" t="s">
        <v>95</v>
      </c>
      <c r="D18" t="s">
        <v>82</v>
      </c>
      <c r="E18" s="35" t="s">
        <v>115</v>
      </c>
      <c r="F18" s="14" t="s">
        <v>116</v>
      </c>
      <c r="G18" s="15" t="s">
        <v>109</v>
      </c>
      <c r="H18" s="15" t="s">
        <v>36</v>
      </c>
      <c r="I18" s="154" t="s">
        <v>101</v>
      </c>
      <c r="J18" s="155" t="s">
        <v>101</v>
      </c>
      <c r="K18" s="155" t="s">
        <v>101</v>
      </c>
      <c r="L18" s="154" t="s">
        <v>111</v>
      </c>
      <c r="M18" s="155"/>
      <c r="N18" s="148"/>
      <c r="O18" s="36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7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8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37" t="s">
        <v>117</v>
      </c>
      <c r="B19" s="115" t="str">
        <f>KeyTable[[#This Row],[Class]]&amp;KeyTable[[#This Row],[Type]]</f>
        <v>InpHdKey</v>
      </c>
      <c r="C19" t="s">
        <v>118</v>
      </c>
      <c r="D19" t="s">
        <v>33</v>
      </c>
      <c r="E19" t="s">
        <v>34</v>
      </c>
      <c r="F19" t="s">
        <v>35</v>
      </c>
      <c r="G19" s="2" t="b">
        <v>1</v>
      </c>
      <c r="H19" s="2" t="s">
        <v>36</v>
      </c>
      <c r="I19" s="143" t="s">
        <v>119</v>
      </c>
      <c r="J19" s="144" t="s">
        <v>119</v>
      </c>
      <c r="K19" s="144"/>
      <c r="L19" s="143"/>
      <c r="M19" s="144"/>
      <c r="N19" s="145"/>
      <c r="O19" s="20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1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2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38" t="s">
        <v>120</v>
      </c>
      <c r="B20" s="116" t="str">
        <f>KeyTable[[#This Row],[Class]]&amp;KeyTable[[#This Row],[Type]]</f>
        <v>InpHd</v>
      </c>
      <c r="C20" t="s">
        <v>118</v>
      </c>
      <c r="D20" t="s">
        <v>47</v>
      </c>
      <c r="E20" t="s">
        <v>34</v>
      </c>
      <c r="F20" t="s">
        <v>35</v>
      </c>
      <c r="G20" s="2" t="b">
        <v>1</v>
      </c>
      <c r="H20" s="2" t="s">
        <v>36</v>
      </c>
      <c r="I20" s="143" t="s">
        <v>119</v>
      </c>
      <c r="J20" s="144" t="s">
        <v>119</v>
      </c>
      <c r="K20" s="144"/>
      <c r="L20" s="143"/>
      <c r="M20" s="144"/>
      <c r="N20" s="145"/>
      <c r="O20" s="4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5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1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39" t="s">
        <v>121</v>
      </c>
      <c r="B21" s="40" t="str">
        <f>KeyTable[[#This Row],[Class]]&amp;KeyTable[[#This Row],[Type]]</f>
        <v>InpKey</v>
      </c>
      <c r="C21" t="s">
        <v>118</v>
      </c>
      <c r="D21" t="s">
        <v>56</v>
      </c>
      <c r="E21" t="s">
        <v>122</v>
      </c>
      <c r="G21" s="2" t="b">
        <v>0</v>
      </c>
      <c r="H21" s="2" t="s">
        <v>36</v>
      </c>
      <c r="I21" s="143" t="s">
        <v>48</v>
      </c>
      <c r="J21" s="144" t="s">
        <v>119</v>
      </c>
      <c r="K21" s="144"/>
      <c r="L21" s="143"/>
      <c r="M21" s="144"/>
      <c r="N21" s="145"/>
      <c r="O21" s="4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5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1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1" t="s">
        <v>123</v>
      </c>
      <c r="B22" s="42" t="str">
        <f>KeyTable[[#This Row],[Class]]&amp;KeyTable[[#This Row],[Type]]</f>
        <v>InpDate</v>
      </c>
      <c r="C22" t="s">
        <v>118</v>
      </c>
      <c r="D22" t="s">
        <v>124</v>
      </c>
      <c r="E22" t="s">
        <v>122</v>
      </c>
      <c r="F22" t="s">
        <v>196</v>
      </c>
      <c r="G22" s="2" t="b">
        <v>0</v>
      </c>
      <c r="H22" s="93" t="s">
        <v>40</v>
      </c>
      <c r="I22" s="143" t="s">
        <v>48</v>
      </c>
      <c r="J22" s="144" t="s">
        <v>119</v>
      </c>
      <c r="K22" s="144"/>
      <c r="L22" s="143" t="s">
        <v>111</v>
      </c>
      <c r="M22" s="144"/>
      <c r="N22" s="145"/>
      <c r="O22" s="4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5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1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3" t="s">
        <v>125</v>
      </c>
      <c r="B23" s="44" t="str">
        <f>KeyTable[[#This Row],[Class]]&amp;KeyTable[[#This Row],[Type]]</f>
        <v>InpVal</v>
      </c>
      <c r="C23" t="s">
        <v>118</v>
      </c>
      <c r="D23" t="s">
        <v>65</v>
      </c>
      <c r="E23" t="s">
        <v>122</v>
      </c>
      <c r="F23" t="s">
        <v>178</v>
      </c>
      <c r="G23" s="2" t="b">
        <v>0</v>
      </c>
      <c r="H23" s="93" t="s">
        <v>40</v>
      </c>
      <c r="I23" s="143" t="s">
        <v>48</v>
      </c>
      <c r="J23" s="144" t="s">
        <v>119</v>
      </c>
      <c r="K23" s="144"/>
      <c r="L23" s="143" t="s">
        <v>111</v>
      </c>
      <c r="M23" s="144"/>
      <c r="N23" s="145"/>
      <c r="O23" s="4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5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1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5" t="s">
        <v>126</v>
      </c>
      <c r="B24" s="46" t="str">
        <f>KeyTable[[#This Row],[Class]]&amp;KeyTable[[#This Row],[Type]]</f>
        <v>InpCell</v>
      </c>
      <c r="C24" t="s">
        <v>118</v>
      </c>
      <c r="D24" t="s">
        <v>72</v>
      </c>
      <c r="E24" t="s">
        <v>122</v>
      </c>
      <c r="G24" s="2" t="b">
        <v>0</v>
      </c>
      <c r="H24" s="2" t="s">
        <v>36</v>
      </c>
      <c r="I24" s="143" t="s">
        <v>48</v>
      </c>
      <c r="J24" s="144" t="s">
        <v>119</v>
      </c>
      <c r="K24" s="144"/>
      <c r="L24" s="143" t="s">
        <v>113</v>
      </c>
      <c r="M24" s="144"/>
      <c r="N24" s="145"/>
      <c r="O24" s="4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5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1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47" t="s">
        <v>127</v>
      </c>
      <c r="B25" s="48" t="str">
        <f>KeyTable[[#This Row],[Class]]&amp;KeyTable[[#This Row],[Type]]</f>
        <v>ActMiss</v>
      </c>
      <c r="C25" t="s">
        <v>95</v>
      </c>
      <c r="D25" t="s">
        <v>128</v>
      </c>
      <c r="E25" s="14" t="s">
        <v>122</v>
      </c>
      <c r="F25" s="14" t="s">
        <v>96</v>
      </c>
      <c r="G25" s="15" t="b">
        <v>0</v>
      </c>
      <c r="H25" s="15" t="s">
        <v>36</v>
      </c>
      <c r="I25" s="146" t="s">
        <v>119</v>
      </c>
      <c r="J25" s="147" t="s">
        <v>119</v>
      </c>
      <c r="K25" s="147" t="s">
        <v>119</v>
      </c>
      <c r="L25" s="146"/>
      <c r="M25" s="147"/>
      <c r="N25" s="148"/>
      <c r="O25" s="16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7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8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49" t="s">
        <v>129</v>
      </c>
      <c r="B26" s="117" t="str">
        <f>KeyTable[[#This Row],[Class]]&amp;KeyTable[[#This Row],[Type]]</f>
        <v>ErrHdKey</v>
      </c>
      <c r="C26" t="s">
        <v>130</v>
      </c>
      <c r="D26" t="s">
        <v>33</v>
      </c>
      <c r="E26" t="s">
        <v>34</v>
      </c>
      <c r="F26" t="s">
        <v>80</v>
      </c>
      <c r="G26" s="2" t="b">
        <v>1</v>
      </c>
      <c r="H26" s="2" t="s">
        <v>36</v>
      </c>
      <c r="I26" s="143" t="s">
        <v>131</v>
      </c>
      <c r="J26" s="144" t="s">
        <v>131</v>
      </c>
      <c r="K26" s="144"/>
      <c r="L26" s="149"/>
      <c r="M26" s="150"/>
      <c r="N26" s="151"/>
      <c r="O26" s="20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1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2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0" t="s">
        <v>132</v>
      </c>
      <c r="B27" s="118" t="str">
        <f>KeyTable[[#This Row],[Class]]&amp;KeyTable[[#This Row],[Type]]</f>
        <v>ErrHd</v>
      </c>
      <c r="C27" t="s">
        <v>130</v>
      </c>
      <c r="D27" t="s">
        <v>47</v>
      </c>
      <c r="E27" t="s">
        <v>133</v>
      </c>
      <c r="F27" t="s">
        <v>35</v>
      </c>
      <c r="G27" s="2" t="b">
        <v>1</v>
      </c>
      <c r="H27" s="2" t="s">
        <v>36</v>
      </c>
      <c r="I27" s="143" t="s">
        <v>131</v>
      </c>
      <c r="J27" s="144" t="s">
        <v>131</v>
      </c>
      <c r="K27" s="144"/>
      <c r="L27" s="143"/>
      <c r="M27" s="144"/>
      <c r="N27" s="145"/>
      <c r="O27" s="4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5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1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1" t="s">
        <v>134</v>
      </c>
      <c r="B28" s="100" t="str">
        <f>KeyTable[[#This Row],[Class]]&amp;KeyTable[[#This Row],[Type]]</f>
        <v>ErrKey</v>
      </c>
      <c r="C28" t="s">
        <v>130</v>
      </c>
      <c r="D28" t="s">
        <v>56</v>
      </c>
      <c r="E28" t="s">
        <v>57</v>
      </c>
      <c r="G28" s="2" t="s">
        <v>109</v>
      </c>
      <c r="H28" s="2" t="s">
        <v>36</v>
      </c>
      <c r="I28" s="143" t="s">
        <v>48</v>
      </c>
      <c r="J28" s="144" t="s">
        <v>131</v>
      </c>
      <c r="K28" s="144"/>
      <c r="L28" s="143"/>
      <c r="M28" s="144"/>
      <c r="N28" s="145"/>
      <c r="O28" s="4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5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1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2" t="s">
        <v>135</v>
      </c>
      <c r="B29" s="119" t="str">
        <f>KeyTable[[#This Row],[Class]]&amp;KeyTable[[#This Row],[Type]]</f>
        <v>ErrVal</v>
      </c>
      <c r="C29" t="s">
        <v>130</v>
      </c>
      <c r="D29" t="s">
        <v>65</v>
      </c>
      <c r="E29" t="s">
        <v>57</v>
      </c>
      <c r="G29" s="2" t="s">
        <v>109</v>
      </c>
      <c r="H29" s="93" t="s">
        <v>40</v>
      </c>
      <c r="I29" s="143" t="s">
        <v>48</v>
      </c>
      <c r="J29" s="144" t="s">
        <v>131</v>
      </c>
      <c r="K29" s="144"/>
      <c r="L29" s="143" t="s">
        <v>111</v>
      </c>
      <c r="M29" s="144"/>
      <c r="N29" s="145"/>
      <c r="O29" s="4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5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1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3" t="s">
        <v>136</v>
      </c>
      <c r="B30" s="120" t="str">
        <f>KeyTable[[#This Row],[Class]]&amp;KeyTable[[#This Row],[Type]]</f>
        <v>ErrCell</v>
      </c>
      <c r="C30" t="s">
        <v>130</v>
      </c>
      <c r="D30" t="s">
        <v>72</v>
      </c>
      <c r="E30" t="s">
        <v>57</v>
      </c>
      <c r="G30" s="2" t="s">
        <v>109</v>
      </c>
      <c r="H30" s="2" t="s">
        <v>36</v>
      </c>
      <c r="I30" s="143" t="s">
        <v>48</v>
      </c>
      <c r="J30" s="144" t="s">
        <v>131</v>
      </c>
      <c r="K30" s="144"/>
      <c r="L30" s="143" t="s">
        <v>113</v>
      </c>
      <c r="M30" s="144"/>
      <c r="N30" s="145"/>
      <c r="O30" s="4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5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1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4" t="s">
        <v>137</v>
      </c>
      <c r="B31" s="121" t="str">
        <f>KeyTable[[#This Row],[Class]]&amp;KeyTable[[#This Row],[Type]]</f>
        <v>ActError</v>
      </c>
      <c r="C31" t="s">
        <v>95</v>
      </c>
      <c r="D31" t="s">
        <v>88</v>
      </c>
      <c r="E31" s="14" t="s">
        <v>138</v>
      </c>
      <c r="F31" s="14" t="s">
        <v>96</v>
      </c>
      <c r="G31" s="15" t="s">
        <v>109</v>
      </c>
      <c r="H31" s="15" t="s">
        <v>36</v>
      </c>
      <c r="I31" s="146" t="s">
        <v>131</v>
      </c>
      <c r="J31" s="147" t="s">
        <v>131</v>
      </c>
      <c r="K31" s="147" t="s">
        <v>131</v>
      </c>
      <c r="L31" s="146" t="s">
        <v>111</v>
      </c>
      <c r="M31" s="147"/>
      <c r="N31" s="148"/>
      <c r="O31" s="16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7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8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5" t="s">
        <v>139</v>
      </c>
      <c r="B32" s="122" t="str">
        <f>KeyTable[[#This Row],[Class]]&amp;KeyTable[[#This Row],[Type]]</f>
        <v>LkpHdKey</v>
      </c>
      <c r="C32" t="s">
        <v>140</v>
      </c>
      <c r="D32" t="s">
        <v>33</v>
      </c>
      <c r="E32" t="s">
        <v>34</v>
      </c>
      <c r="F32" t="s">
        <v>35</v>
      </c>
      <c r="G32" s="2" t="b">
        <v>1</v>
      </c>
      <c r="H32" s="2" t="s">
        <v>36</v>
      </c>
      <c r="I32" s="143" t="s">
        <v>141</v>
      </c>
      <c r="J32" s="144" t="s">
        <v>141</v>
      </c>
      <c r="K32" s="144"/>
      <c r="L32" s="149"/>
      <c r="M32" s="150"/>
      <c r="N32" s="151"/>
      <c r="O32" s="20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1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2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6" t="s">
        <v>142</v>
      </c>
      <c r="B33" s="123" t="str">
        <f>KeyTable[[#This Row],[Class]]&amp;KeyTable[[#This Row],[Type]]</f>
        <v>LkpHd</v>
      </c>
      <c r="C33" t="s">
        <v>140</v>
      </c>
      <c r="D33" t="s">
        <v>47</v>
      </c>
      <c r="E33" t="s">
        <v>34</v>
      </c>
      <c r="F33" t="s">
        <v>35</v>
      </c>
      <c r="G33" s="2" t="b">
        <v>1</v>
      </c>
      <c r="H33" s="2" t="s">
        <v>36</v>
      </c>
      <c r="I33" s="143" t="s">
        <v>141</v>
      </c>
      <c r="J33" s="144" t="s">
        <v>141</v>
      </c>
      <c r="K33" s="144"/>
      <c r="L33" s="143"/>
      <c r="M33" s="144"/>
      <c r="N33" s="145"/>
      <c r="O33" s="4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5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1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57" t="s">
        <v>143</v>
      </c>
      <c r="B34" s="124" t="str">
        <f>KeyTable[[#This Row],[Class]]&amp;KeyTable[[#This Row],[Type]]</f>
        <v>LkpKey</v>
      </c>
      <c r="C34" t="s">
        <v>140</v>
      </c>
      <c r="D34" t="s">
        <v>56</v>
      </c>
      <c r="E34" t="s">
        <v>144</v>
      </c>
      <c r="G34" s="2" t="b">
        <v>1</v>
      </c>
      <c r="H34" s="2" t="s">
        <v>36</v>
      </c>
      <c r="I34" s="143" t="s">
        <v>48</v>
      </c>
      <c r="J34" s="144" t="s">
        <v>141</v>
      </c>
      <c r="K34" s="144"/>
      <c r="L34" s="143"/>
      <c r="M34" s="144"/>
      <c r="N34" s="145"/>
      <c r="O34" s="4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5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1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58" t="s">
        <v>145</v>
      </c>
      <c r="B35" s="125" t="str">
        <f>KeyTable[[#This Row],[Class]]&amp;KeyTable[[#This Row],[Type]]</f>
        <v>LkpDate</v>
      </c>
      <c r="C35" t="s">
        <v>140</v>
      </c>
      <c r="D35" t="s">
        <v>124</v>
      </c>
      <c r="E35" t="s">
        <v>144</v>
      </c>
      <c r="F35" t="s">
        <v>196</v>
      </c>
      <c r="G35" s="2" t="b">
        <v>1</v>
      </c>
      <c r="H35" s="93" t="s">
        <v>40</v>
      </c>
      <c r="I35" s="143" t="s">
        <v>48</v>
      </c>
      <c r="J35" s="144" t="s">
        <v>141</v>
      </c>
      <c r="K35" s="144"/>
      <c r="L35" s="143" t="s">
        <v>111</v>
      </c>
      <c r="M35" s="144"/>
      <c r="N35" s="145"/>
      <c r="O35" s="4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5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1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59" t="s">
        <v>146</v>
      </c>
      <c r="B36" s="126" t="str">
        <f>KeyTable[[#This Row],[Class]]&amp;KeyTable[[#This Row],[Type]]</f>
        <v>LkpVal</v>
      </c>
      <c r="C36" t="s">
        <v>140</v>
      </c>
      <c r="D36" t="s">
        <v>65</v>
      </c>
      <c r="E36" t="s">
        <v>144</v>
      </c>
      <c r="F36" t="s">
        <v>178</v>
      </c>
      <c r="G36" s="2" t="b">
        <v>1</v>
      </c>
      <c r="H36" s="93" t="s">
        <v>40</v>
      </c>
      <c r="I36" s="143" t="s">
        <v>48</v>
      </c>
      <c r="J36" s="144" t="s">
        <v>141</v>
      </c>
      <c r="K36" s="144"/>
      <c r="L36" s="143" t="s">
        <v>111</v>
      </c>
      <c r="M36" s="144"/>
      <c r="N36" s="145"/>
      <c r="O36" s="4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5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1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0" t="s">
        <v>147</v>
      </c>
      <c r="B37" s="60" t="str">
        <f>KeyTable[[#This Row],[Class]]&amp;KeyTable[[#This Row],[Type]]</f>
        <v>LkpCell</v>
      </c>
      <c r="C37" t="s">
        <v>140</v>
      </c>
      <c r="D37" t="s">
        <v>72</v>
      </c>
      <c r="E37" t="s">
        <v>144</v>
      </c>
      <c r="G37" s="2" t="b">
        <v>1</v>
      </c>
      <c r="H37" s="2" t="s">
        <v>36</v>
      </c>
      <c r="I37" s="143" t="s">
        <v>48</v>
      </c>
      <c r="J37" s="144" t="s">
        <v>141</v>
      </c>
      <c r="K37" s="144"/>
      <c r="L37" s="143" t="s">
        <v>113</v>
      </c>
      <c r="M37" s="144"/>
      <c r="N37" s="145"/>
      <c r="O37" s="4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5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1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1" t="s">
        <v>148</v>
      </c>
      <c r="B38" s="127" t="str">
        <f>KeyTable[[#This Row],[Class]]&amp;KeyTable[[#This Row],[Type]]</f>
        <v>ActFind</v>
      </c>
      <c r="C38" t="s">
        <v>95</v>
      </c>
      <c r="D38" t="s">
        <v>149</v>
      </c>
      <c r="E38" s="14" t="s">
        <v>144</v>
      </c>
      <c r="F38" s="14" t="s">
        <v>96</v>
      </c>
      <c r="G38" s="15" t="b">
        <v>1</v>
      </c>
      <c r="H38" s="15" t="s">
        <v>36</v>
      </c>
      <c r="I38" s="146" t="s">
        <v>141</v>
      </c>
      <c r="J38" s="147" t="s">
        <v>141</v>
      </c>
      <c r="K38" s="147" t="s">
        <v>141</v>
      </c>
      <c r="L38" s="146"/>
      <c r="M38" s="147"/>
      <c r="N38" s="148"/>
      <c r="O38" s="16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7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8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2" t="s">
        <v>150</v>
      </c>
      <c r="B39" s="128" t="str">
        <f>KeyTable[[#This Row],[Class]]&amp;KeyTable[[#This Row],[Type]]</f>
        <v>QueHdKey</v>
      </c>
      <c r="C39" t="s">
        <v>151</v>
      </c>
      <c r="D39" t="s">
        <v>33</v>
      </c>
      <c r="E39" t="s">
        <v>34</v>
      </c>
      <c r="F39" t="s">
        <v>35</v>
      </c>
      <c r="G39" s="2" t="b">
        <v>1</v>
      </c>
      <c r="H39" s="2" t="s">
        <v>36</v>
      </c>
      <c r="I39" s="143" t="s">
        <v>152</v>
      </c>
      <c r="J39" s="144" t="s">
        <v>152</v>
      </c>
      <c r="K39" s="144"/>
      <c r="L39" s="149"/>
      <c r="M39" s="150"/>
      <c r="N39" s="151"/>
      <c r="O39" s="20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1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2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3" t="s">
        <v>153</v>
      </c>
      <c r="B40" s="129" t="str">
        <f>KeyTable[[#This Row],[Class]]&amp;KeyTable[[#This Row],[Type]]</f>
        <v>QueHd</v>
      </c>
      <c r="C40" t="s">
        <v>151</v>
      </c>
      <c r="D40" t="s">
        <v>47</v>
      </c>
      <c r="E40" t="s">
        <v>34</v>
      </c>
      <c r="F40" t="s">
        <v>35</v>
      </c>
      <c r="G40" s="2" t="b">
        <v>1</v>
      </c>
      <c r="H40" s="2" t="s">
        <v>36</v>
      </c>
      <c r="I40" s="143" t="s">
        <v>152</v>
      </c>
      <c r="J40" s="144" t="s">
        <v>152</v>
      </c>
      <c r="K40" s="144"/>
      <c r="L40" s="143"/>
      <c r="M40" s="144"/>
      <c r="N40" s="145"/>
      <c r="O40" s="4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5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1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4" t="s">
        <v>154</v>
      </c>
      <c r="B41" s="130" t="str">
        <f>KeyTable[[#This Row],[Class]]&amp;KeyTable[[#This Row],[Type]]</f>
        <v>QueKey</v>
      </c>
      <c r="C41" t="s">
        <v>151</v>
      </c>
      <c r="D41" t="s">
        <v>56</v>
      </c>
      <c r="E41" t="s">
        <v>57</v>
      </c>
      <c r="G41" s="2" t="b">
        <v>1</v>
      </c>
      <c r="H41" s="2" t="s">
        <v>36</v>
      </c>
      <c r="I41" s="143" t="s">
        <v>48</v>
      </c>
      <c r="J41" s="144" t="s">
        <v>152</v>
      </c>
      <c r="K41" s="144"/>
      <c r="L41" s="143"/>
      <c r="M41" s="144"/>
      <c r="N41" s="145"/>
      <c r="O41" s="4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5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1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5" t="s">
        <v>155</v>
      </c>
      <c r="B42" s="131" t="str">
        <f>KeyTable[[#This Row],[Class]]&amp;KeyTable[[#This Row],[Type]]</f>
        <v>QueVal</v>
      </c>
      <c r="C42" t="s">
        <v>151</v>
      </c>
      <c r="D42" t="s">
        <v>65</v>
      </c>
      <c r="E42" t="s">
        <v>57</v>
      </c>
      <c r="F42" t="s">
        <v>178</v>
      </c>
      <c r="G42" s="2" t="b">
        <v>1</v>
      </c>
      <c r="H42" s="93" t="s">
        <v>40</v>
      </c>
      <c r="I42" s="143" t="s">
        <v>48</v>
      </c>
      <c r="J42" s="144" t="s">
        <v>152</v>
      </c>
      <c r="K42" s="144"/>
      <c r="L42" s="143" t="s">
        <v>111</v>
      </c>
      <c r="M42" s="144"/>
      <c r="N42" s="145"/>
      <c r="O42" s="4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5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1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6" t="s">
        <v>156</v>
      </c>
      <c r="B43" s="132" t="str">
        <f>KeyTable[[#This Row],[Class]]&amp;KeyTable[[#This Row],[Type]]</f>
        <v>QueCell</v>
      </c>
      <c r="C43" t="s">
        <v>151</v>
      </c>
      <c r="D43" t="s">
        <v>72</v>
      </c>
      <c r="E43" t="s">
        <v>57</v>
      </c>
      <c r="G43" s="2" t="b">
        <v>1</v>
      </c>
      <c r="H43" s="2" t="s">
        <v>36</v>
      </c>
      <c r="I43" s="143" t="s">
        <v>48</v>
      </c>
      <c r="J43" s="144" t="s">
        <v>152</v>
      </c>
      <c r="K43" s="144"/>
      <c r="L43" s="143" t="s">
        <v>113</v>
      </c>
      <c r="M43" s="144"/>
      <c r="N43" s="145"/>
      <c r="O43" s="4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5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1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67" t="s">
        <v>157</v>
      </c>
      <c r="B44" s="133" t="str">
        <f>KeyTable[[#This Row],[Class]]&amp;KeyTable[[#This Row],[Type]]</f>
        <v>ActGood</v>
      </c>
      <c r="C44" s="14" t="s">
        <v>95</v>
      </c>
      <c r="D44" s="14" t="s">
        <v>158</v>
      </c>
      <c r="E44" s="14" t="s">
        <v>57</v>
      </c>
      <c r="F44" s="14" t="s">
        <v>96</v>
      </c>
      <c r="G44" s="15" t="b">
        <v>1</v>
      </c>
      <c r="H44" s="15" t="s">
        <v>36</v>
      </c>
      <c r="I44" s="146" t="s">
        <v>152</v>
      </c>
      <c r="J44" s="147" t="s">
        <v>152</v>
      </c>
      <c r="K44" s="147" t="s">
        <v>152</v>
      </c>
      <c r="L44" s="146" t="s">
        <v>159</v>
      </c>
      <c r="M44" s="147"/>
      <c r="N44" s="148"/>
      <c r="O44" s="16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7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8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68" t="s">
        <v>160</v>
      </c>
      <c r="B45" s="134" t="str">
        <f>KeyTable[[#This Row],[Class]]&amp;KeyTable[[#This Row],[Type]]</f>
        <v>IntHdKey</v>
      </c>
      <c r="C45" t="s">
        <v>161</v>
      </c>
      <c r="D45" t="s">
        <v>33</v>
      </c>
      <c r="E45" t="s">
        <v>34</v>
      </c>
      <c r="F45" t="s">
        <v>35</v>
      </c>
      <c r="G45" s="2" t="b">
        <v>1</v>
      </c>
      <c r="H45" s="2" t="s">
        <v>36</v>
      </c>
      <c r="I45" s="143" t="s">
        <v>162</v>
      </c>
      <c r="J45" s="144" t="s">
        <v>162</v>
      </c>
      <c r="K45" s="144"/>
      <c r="L45" s="149"/>
      <c r="M45" s="150"/>
      <c r="N45" s="151"/>
      <c r="O45" s="20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1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2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1" t="s">
        <v>163</v>
      </c>
      <c r="B46" s="135" t="str">
        <f>KeyTable[[#This Row],[Class]]&amp;KeyTable[[#This Row],[Type]]</f>
        <v>IntHd</v>
      </c>
      <c r="C46" t="s">
        <v>161</v>
      </c>
      <c r="D46" t="s">
        <v>47</v>
      </c>
      <c r="E46" t="s">
        <v>34</v>
      </c>
      <c r="F46" t="s">
        <v>35</v>
      </c>
      <c r="G46" s="2" t="b">
        <v>1</v>
      </c>
      <c r="H46" s="2" t="s">
        <v>36</v>
      </c>
      <c r="I46" s="143" t="s">
        <v>162</v>
      </c>
      <c r="J46" s="144" t="s">
        <v>162</v>
      </c>
      <c r="K46" s="144"/>
      <c r="L46" s="143"/>
      <c r="M46" s="144"/>
      <c r="N46" s="145"/>
      <c r="O46" s="4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5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1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69" t="s">
        <v>164</v>
      </c>
      <c r="B47" s="136" t="str">
        <f>KeyTable[[#This Row],[Class]]&amp;KeyTable[[#This Row],[Type]]</f>
        <v>IntKey</v>
      </c>
      <c r="C47" t="s">
        <v>161</v>
      </c>
      <c r="D47" t="s">
        <v>56</v>
      </c>
      <c r="E47" t="s">
        <v>138</v>
      </c>
      <c r="G47" s="2" t="b">
        <v>0</v>
      </c>
      <c r="H47" s="2" t="s">
        <v>36</v>
      </c>
      <c r="I47" s="143" t="s">
        <v>48</v>
      </c>
      <c r="J47" s="144" t="s">
        <v>162</v>
      </c>
      <c r="K47" s="144"/>
      <c r="L47" s="143"/>
      <c r="M47" s="144"/>
      <c r="N47" s="145"/>
      <c r="O47" s="4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5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1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0" t="s">
        <v>165</v>
      </c>
      <c r="B48" s="137" t="str">
        <f>KeyTable[[#This Row],[Class]]&amp;KeyTable[[#This Row],[Type]]</f>
        <v>IntVal</v>
      </c>
      <c r="C48" t="s">
        <v>161</v>
      </c>
      <c r="D48" t="s">
        <v>65</v>
      </c>
      <c r="E48" t="s">
        <v>138</v>
      </c>
      <c r="F48" t="s">
        <v>178</v>
      </c>
      <c r="G48" s="2" t="b">
        <v>0</v>
      </c>
      <c r="H48" s="93" t="s">
        <v>40</v>
      </c>
      <c r="I48" s="143" t="s">
        <v>48</v>
      </c>
      <c r="J48" s="144" t="s">
        <v>162</v>
      </c>
      <c r="K48" s="144"/>
      <c r="L48" s="143" t="s">
        <v>111</v>
      </c>
      <c r="M48" s="144"/>
      <c r="N48" s="145"/>
      <c r="O48" s="4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5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1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1" t="s">
        <v>166</v>
      </c>
      <c r="B49" s="138" t="str">
        <f>KeyTable[[#This Row],[Class]]&amp;KeyTable[[#This Row],[Type]]</f>
        <v>IntCell</v>
      </c>
      <c r="C49" t="s">
        <v>161</v>
      </c>
      <c r="D49" t="s">
        <v>72</v>
      </c>
      <c r="E49" t="s">
        <v>138</v>
      </c>
      <c r="G49" s="2" t="b">
        <v>0</v>
      </c>
      <c r="H49" s="2" t="s">
        <v>36</v>
      </c>
      <c r="I49" s="143" t="s">
        <v>48</v>
      </c>
      <c r="J49" s="144" t="s">
        <v>162</v>
      </c>
      <c r="K49" s="144"/>
      <c r="L49" s="143" t="s">
        <v>113</v>
      </c>
      <c r="M49" s="144"/>
      <c r="N49" s="145"/>
      <c r="O49" s="4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5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1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2" t="s">
        <v>167</v>
      </c>
      <c r="B50" s="139" t="str">
        <f>KeyTable[[#This Row],[Class]]&amp;KeyTable[[#This Row],[Type]]</f>
        <v>ActNote</v>
      </c>
      <c r="C50" t="s">
        <v>95</v>
      </c>
      <c r="D50" t="s">
        <v>168</v>
      </c>
      <c r="E50" t="s">
        <v>169</v>
      </c>
      <c r="F50" t="s">
        <v>170</v>
      </c>
      <c r="G50" s="2" t="b">
        <v>0</v>
      </c>
      <c r="H50" s="2" t="s">
        <v>36</v>
      </c>
      <c r="I50" s="143" t="s">
        <v>162</v>
      </c>
      <c r="J50" s="144" t="s">
        <v>162</v>
      </c>
      <c r="K50" s="144" t="s">
        <v>162</v>
      </c>
      <c r="L50" s="152" t="s">
        <v>111</v>
      </c>
      <c r="M50" s="153"/>
      <c r="N50" s="156"/>
      <c r="O50" s="4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5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1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3" t="s">
        <v>171</v>
      </c>
      <c r="B51" s="140" t="str">
        <f>KeyTable[[#This Row],[Class]]&amp;KeyTable[[#This Row],[Type]]</f>
        <v>Normal</v>
      </c>
      <c r="C51" s="74"/>
      <c r="D51" t="s">
        <v>172</v>
      </c>
      <c r="E51" t="s">
        <v>173</v>
      </c>
      <c r="F51" t="s">
        <v>174</v>
      </c>
      <c r="G51" s="2" t="s">
        <v>109</v>
      </c>
      <c r="H51" s="2" t="s">
        <v>36</v>
      </c>
      <c r="I51" s="143"/>
      <c r="J51" s="144"/>
      <c r="K51" s="144"/>
      <c r="L51" s="143"/>
      <c r="M51" s="144"/>
      <c r="N51" s="144"/>
      <c r="O51" s="75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5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6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77" t="s">
        <v>175</v>
      </c>
      <c r="B52" s="141" t="str">
        <f>KeyTable[[#This Row],[Class]]&amp;KeyTable[[#This Row],[Type]]</f>
        <v>xCond</v>
      </c>
      <c r="C52" s="74" t="s">
        <v>176</v>
      </c>
      <c r="D52" t="s">
        <v>28</v>
      </c>
      <c r="E52" t="s">
        <v>177</v>
      </c>
      <c r="F52" t="s">
        <v>178</v>
      </c>
      <c r="G52" s="78" t="s">
        <v>109</v>
      </c>
      <c r="H52" s="95" t="s">
        <v>41</v>
      </c>
      <c r="I52" s="143"/>
      <c r="J52" s="144"/>
      <c r="K52" s="144"/>
      <c r="L52" s="143"/>
      <c r="M52" s="144"/>
      <c r="N52" s="144"/>
      <c r="O52" s="75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5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6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79" t="s">
        <v>179</v>
      </c>
      <c r="B53" s="142" t="str">
        <f>KeyTable[[#This Row],[Class]]&amp;KeyTable[[#This Row],[Type]]</f>
        <v>xMono</v>
      </c>
      <c r="C53" s="74" t="s">
        <v>176</v>
      </c>
      <c r="D53" t="s">
        <v>27</v>
      </c>
      <c r="E53" t="s">
        <v>177</v>
      </c>
      <c r="F53" t="s">
        <v>178</v>
      </c>
      <c r="G53" s="78" t="s">
        <v>109</v>
      </c>
      <c r="H53" s="94" t="s">
        <v>40</v>
      </c>
      <c r="I53" s="143"/>
      <c r="J53" s="144"/>
      <c r="K53" s="144"/>
      <c r="L53" s="143"/>
      <c r="M53" s="144"/>
      <c r="N53" s="144"/>
      <c r="O53" s="75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5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6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0"/>
      <c r="B54" s="80"/>
      <c r="G54" s="2"/>
      <c r="H54" s="2"/>
      <c r="I54" s="2"/>
      <c r="J54" s="2"/>
      <c r="K54" s="2"/>
      <c r="L54" s="2"/>
      <c r="M54" s="2"/>
      <c r="N54" s="2"/>
      <c r="O54" s="81"/>
      <c r="P54" s="81"/>
    </row>
    <row r="55" spans="1:17" x14ac:dyDescent="0.2">
      <c r="J55" s="2"/>
      <c r="K55" s="2"/>
      <c r="L55" s="2"/>
      <c r="M55" s="2"/>
      <c r="N55" s="2"/>
    </row>
    <row r="56" spans="1:17" x14ac:dyDescent="0.2">
      <c r="J56" s="2"/>
      <c r="K56" s="2"/>
      <c r="L56" s="2"/>
      <c r="M56" s="2"/>
      <c r="N56" s="2"/>
    </row>
    <row r="57" spans="1:17" x14ac:dyDescent="0.2">
      <c r="J57" s="2"/>
      <c r="K57" s="2"/>
      <c r="L57" s="2"/>
      <c r="M57" s="2"/>
      <c r="N57" s="2"/>
    </row>
    <row r="58" spans="1:17" x14ac:dyDescent="0.2">
      <c r="J58" s="2"/>
      <c r="K58" s="2"/>
      <c r="L58" s="2"/>
      <c r="M58" s="2"/>
      <c r="N58" s="2"/>
    </row>
    <row r="59" spans="1:17" x14ac:dyDescent="0.2">
      <c r="J59" s="2"/>
      <c r="K59" s="2"/>
      <c r="L59" s="2"/>
      <c r="M59" s="2"/>
      <c r="N59" s="2"/>
    </row>
    <row r="60" spans="1:17" x14ac:dyDescent="0.2">
      <c r="J60" s="2"/>
      <c r="K60" s="2"/>
      <c r="L60" s="2"/>
      <c r="M60" s="2"/>
      <c r="N60" s="2"/>
    </row>
    <row r="61" spans="1:17" x14ac:dyDescent="0.2">
      <c r="C61" s="2"/>
      <c r="D61" s="2"/>
      <c r="E61" s="2"/>
    </row>
    <row r="62" spans="1:17" x14ac:dyDescent="0.2">
      <c r="C62" s="2"/>
      <c r="D62" s="2"/>
      <c r="E62" s="2"/>
    </row>
    <row r="63" spans="1:17" x14ac:dyDescent="0.2">
      <c r="C63" s="2"/>
      <c r="D63" s="2"/>
      <c r="E63" s="2"/>
    </row>
    <row r="64" spans="1:17" x14ac:dyDescent="0.2">
      <c r="C64" s="2"/>
      <c r="D64" s="2"/>
      <c r="E64" s="2"/>
    </row>
    <row r="65" spans="3:5" x14ac:dyDescent="0.2">
      <c r="C65" s="2"/>
      <c r="D65" s="2"/>
      <c r="E65" s="2"/>
    </row>
    <row r="66" spans="3:5" x14ac:dyDescent="0.2">
      <c r="C66" s="2"/>
      <c r="D66" s="2"/>
      <c r="E66" s="2"/>
    </row>
    <row r="67" spans="3:5" x14ac:dyDescent="0.2">
      <c r="C67" s="2"/>
      <c r="D67" s="2"/>
      <c r="E67" s="2"/>
    </row>
    <row r="68" spans="3:5" x14ac:dyDescent="0.2">
      <c r="C68" s="2"/>
      <c r="D68" s="2"/>
      <c r="E68" s="2"/>
    </row>
    <row r="69" spans="3:5" x14ac:dyDescent="0.2">
      <c r="C69" s="2"/>
      <c r="D69" s="2"/>
      <c r="E69" s="2"/>
    </row>
    <row r="70" spans="3:5" x14ac:dyDescent="0.2">
      <c r="C70" s="2"/>
      <c r="D70" s="2"/>
      <c r="E70" s="2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A1:AD1"/>
    <mergeCell ref="AF1:AI1"/>
    <mergeCell ref="AK1:AN1"/>
    <mergeCell ref="A1:Q1"/>
    <mergeCell ref="S1:T1"/>
    <mergeCell ref="V1:X1"/>
    <mergeCell ref="Y1:Z3"/>
  </mergeCells>
  <dataValidations count="1">
    <dataValidation type="list" allowBlank="1" sqref="AH3:AI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1]!UpdateStyles">
            <anchor moveWithCells="1" sizeWithCells="1">
              <from>
                <xdr:col>24</xdr:col>
                <xdr:colOff>228600</xdr:colOff>
                <xdr:row>0</xdr:row>
                <xdr:rowOff>104775</xdr:rowOff>
              </from>
              <to>
                <xdr:col>25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:W20"/>
  <sheetViews>
    <sheetView zoomScaleNormal="100" workbookViewId="0">
      <selection activeCell="J25" sqref="J25"/>
    </sheetView>
  </sheetViews>
  <sheetFormatPr defaultRowHeight="14.25" customHeight="1" x14ac:dyDescent="0.2"/>
  <cols>
    <col min="1" max="1" width="18.44140625" bestFit="1" customWidth="1"/>
    <col min="2" max="3" width="6" bestFit="1" customWidth="1"/>
    <col min="4" max="4" width="4" bestFit="1" customWidth="1"/>
    <col min="5" max="5" width="5" bestFit="1" customWidth="1"/>
    <col min="6" max="9" width="4" bestFit="1" customWidth="1"/>
    <col min="10" max="10" width="16.5546875" bestFit="1" customWidth="1"/>
    <col min="11" max="11" width="6.44140625" customWidth="1"/>
    <col min="12" max="13" width="6.21875" customWidth="1"/>
    <col min="14" max="14" width="6.21875" bestFit="1" customWidth="1"/>
    <col min="15" max="16" width="4" bestFit="1" customWidth="1"/>
    <col min="17" max="17" width="5.33203125" bestFit="1" customWidth="1"/>
    <col min="18" max="18" width="4" bestFit="1" customWidth="1"/>
    <col min="20" max="20" width="5.44140625" style="2" bestFit="1" customWidth="1"/>
    <col min="21" max="21" width="16.5546875" bestFit="1" customWidth="1"/>
  </cols>
  <sheetData>
    <row r="1" spans="1:23" ht="19.5" x14ac:dyDescent="0.2">
      <c r="A1" s="177" t="s">
        <v>198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81"/>
    </row>
    <row r="2" spans="1:23" ht="53.25" x14ac:dyDescent="0.2">
      <c r="A2" s="162" t="s">
        <v>204</v>
      </c>
      <c r="B2" s="162" t="s">
        <v>205</v>
      </c>
      <c r="C2" s="162" t="s">
        <v>206</v>
      </c>
      <c r="D2" s="162" t="s">
        <v>207</v>
      </c>
      <c r="E2" s="162" t="s">
        <v>6</v>
      </c>
      <c r="F2" s="162" t="s">
        <v>210</v>
      </c>
      <c r="G2" s="162" t="s">
        <v>233</v>
      </c>
      <c r="H2" s="162" t="s">
        <v>222</v>
      </c>
      <c r="I2" s="163" t="s">
        <v>223</v>
      </c>
      <c r="J2" s="164" t="s">
        <v>218</v>
      </c>
      <c r="K2" s="165" t="s">
        <v>199</v>
      </c>
      <c r="L2" s="165" t="s">
        <v>200</v>
      </c>
      <c r="M2" s="165" t="s">
        <v>244</v>
      </c>
      <c r="N2" s="165" t="s">
        <v>201</v>
      </c>
      <c r="O2" s="165" t="s">
        <v>202</v>
      </c>
      <c r="P2" s="165" t="s">
        <v>203</v>
      </c>
      <c r="Q2" s="165" t="s">
        <v>208</v>
      </c>
      <c r="R2" s="165" t="s">
        <v>209</v>
      </c>
      <c r="T2" s="2" t="s">
        <v>217</v>
      </c>
      <c r="U2" t="s">
        <v>219</v>
      </c>
    </row>
    <row r="3" spans="1:23" ht="14.25" customHeight="1" x14ac:dyDescent="0.2">
      <c r="A3" t="str">
        <f>CmdTable[[#This Row],[Column12]]</f>
        <v/>
      </c>
      <c r="B3" t="b">
        <v>0</v>
      </c>
      <c r="C3" t="b">
        <v>0</v>
      </c>
      <c r="D3" t="s">
        <v>213</v>
      </c>
      <c r="E3" t="s">
        <v>214</v>
      </c>
      <c r="F3" t="s">
        <v>211</v>
      </c>
      <c r="H3">
        <v>0</v>
      </c>
      <c r="I3" s="71">
        <v>0</v>
      </c>
      <c r="J3" s="159"/>
      <c r="K3" s="158" t="str">
        <f>SUBSTITUTE(CmdTable[[#This Row],[FieldFmt]], "%L", CmdTable[[#This Row],[Letter]])</f>
        <v/>
      </c>
      <c r="L3" s="158" t="str">
        <f>SUBSTITUTE(CmdTable[[#This Row],[Column10]], "%V", "XX", 1)</f>
        <v/>
      </c>
      <c r="M3" s="158" t="str">
        <f>SUBSTITUTE(CmdTable[[#This Row],[Column11]], "%V", "YY", 1)</f>
        <v/>
      </c>
      <c r="N3" s="158" t="str">
        <f>SUBSTITUTE(CmdTable[[#This Row],[Column112]], "%F", CmdTable[[#This Row],[ForceField1]])</f>
        <v/>
      </c>
      <c r="O3" s="158"/>
      <c r="P3" s="158"/>
      <c r="Q3" s="158" t="str">
        <f>IF(CmdTable[[#This Row],[IsEscaped]], "&lt;ESC&gt;", "")</f>
        <v/>
      </c>
      <c r="R3" s="158" t="str">
        <f>IF(CmdTable[[#This Row],[IsShifted]], "&lt;SI&gt;", "")</f>
        <v/>
      </c>
      <c r="T3" s="166" t="s">
        <v>237</v>
      </c>
      <c r="U3" s="157" t="s">
        <v>210</v>
      </c>
    </row>
    <row r="4" spans="1:23" ht="14.25" customHeight="1" x14ac:dyDescent="0.2">
      <c r="A4" t="str">
        <f>CmdTable[[#This Row],[Column12]]</f>
        <v/>
      </c>
      <c r="B4" t="b">
        <v>1</v>
      </c>
      <c r="C4" t="b">
        <v>0</v>
      </c>
      <c r="D4" t="s">
        <v>213</v>
      </c>
      <c r="E4" t="s">
        <v>214</v>
      </c>
      <c r="F4" t="s">
        <v>212</v>
      </c>
      <c r="H4">
        <v>0</v>
      </c>
      <c r="I4" s="71">
        <v>0</v>
      </c>
      <c r="J4" s="159"/>
      <c r="K4" s="158" t="str">
        <f>SUBSTITUTE(CmdTable[[#This Row],[FieldFmt]], "%L", CmdTable[[#This Row],[Letter]])</f>
        <v/>
      </c>
      <c r="L4" s="158" t="str">
        <f>SUBSTITUTE(CmdTable[[#This Row],[Column10]], "%V", "XX", 1)</f>
        <v/>
      </c>
      <c r="M4" s="158" t="str">
        <f>SUBSTITUTE(CmdTable[[#This Row],[Column11]], "%V", "YY", 1)</f>
        <v/>
      </c>
      <c r="N4" s="158" t="str">
        <f>SUBSTITUTE(CmdTable[[#This Row],[Column112]], "%F", CmdTable[[#This Row],[ForceField1]])</f>
        <v/>
      </c>
      <c r="O4" s="158"/>
      <c r="P4" s="158"/>
      <c r="Q4" s="158" t="str">
        <f>IF(CmdTable[[#This Row],[IsEscaped]], "&lt;ESC&gt;", "")</f>
        <v>&lt;ESC&gt;</v>
      </c>
      <c r="R4" s="158" t="str">
        <f>IF(CmdTable[[#This Row],[IsShifted]], "&lt;SI&gt;", "")</f>
        <v/>
      </c>
      <c r="T4" s="166" t="s">
        <v>238</v>
      </c>
      <c r="U4" t="s">
        <v>233</v>
      </c>
    </row>
    <row r="5" spans="1:23" ht="14.25" customHeight="1" x14ac:dyDescent="0.2">
      <c r="A5" t="str">
        <f>CmdTable[[#This Row],[Column12]]</f>
        <v/>
      </c>
      <c r="B5" t="b">
        <v>1</v>
      </c>
      <c r="C5" t="b">
        <v>0</v>
      </c>
      <c r="D5" t="s">
        <v>211</v>
      </c>
      <c r="E5" t="s">
        <v>219</v>
      </c>
      <c r="F5" t="s">
        <v>235</v>
      </c>
      <c r="H5">
        <v>1</v>
      </c>
      <c r="I5" s="71">
        <v>1</v>
      </c>
      <c r="J5" s="159"/>
      <c r="K5" s="158" t="str">
        <f>SUBSTITUTE(CmdTable[[#This Row],[FieldFmt]], "%L", CmdTable[[#This Row],[Letter]])</f>
        <v/>
      </c>
      <c r="L5" s="158" t="str">
        <f>SUBSTITUTE(CmdTable[[#This Row],[Column10]], "%V", "XX", 1)</f>
        <v/>
      </c>
      <c r="M5" s="158" t="str">
        <f>SUBSTITUTE(CmdTable[[#This Row],[Column11]], "%V", "YY", 1)</f>
        <v/>
      </c>
      <c r="N5" s="158" t="str">
        <f>SUBSTITUTE(CmdTable[[#This Row],[Column112]], "%F", CmdTable[[#This Row],[ForceField1]])</f>
        <v/>
      </c>
      <c r="O5" s="158"/>
      <c r="P5" s="158"/>
      <c r="Q5" s="158" t="str">
        <f>IF(CmdTable[[#This Row],[IsEscaped]], "&lt;ESC&gt;", "")</f>
        <v>&lt;ESC&gt;</v>
      </c>
      <c r="R5" s="158" t="str">
        <f>IF(CmdTable[[#This Row],[IsShifted]], "&lt;SI&gt;", "")</f>
        <v/>
      </c>
      <c r="T5" s="167" t="s">
        <v>239</v>
      </c>
      <c r="U5" t="s">
        <v>240</v>
      </c>
    </row>
    <row r="6" spans="1:23" ht="14.25" customHeight="1" x14ac:dyDescent="0.2">
      <c r="A6" t="str">
        <f>CmdTable[[#This Row],[Column12]]</f>
        <v>HXX</v>
      </c>
      <c r="B6" t="b">
        <v>0</v>
      </c>
      <c r="C6" t="b">
        <v>0</v>
      </c>
      <c r="D6" t="s">
        <v>212</v>
      </c>
      <c r="E6" t="s">
        <v>215</v>
      </c>
      <c r="F6" t="s">
        <v>216</v>
      </c>
      <c r="H6">
        <v>1</v>
      </c>
      <c r="I6" s="71">
        <v>1</v>
      </c>
      <c r="J6" s="159" t="s">
        <v>243</v>
      </c>
      <c r="K6" s="158" t="str">
        <f>SUBSTITUTE(CmdTable[[#This Row],[FieldFmt]], "%L", CmdTable[[#This Row],[Letter]])</f>
        <v>H%V</v>
      </c>
      <c r="L6" s="158" t="str">
        <f>SUBSTITUTE(CmdTable[[#This Row],[Column10]], "%V", "XX", 1)</f>
        <v>HXX</v>
      </c>
      <c r="M6" s="158" t="str">
        <f>SUBSTITUTE(CmdTable[[#This Row],[Column11]], "%V", "YY", 1)</f>
        <v>HXX</v>
      </c>
      <c r="N6" s="158" t="str">
        <f>SUBSTITUTE(CmdTable[[#This Row],[Column112]], "%F", CmdTable[[#This Row],[ForceField1]])</f>
        <v>HXX</v>
      </c>
      <c r="O6" s="158"/>
      <c r="P6" s="158"/>
      <c r="Q6" s="158" t="str">
        <f>IF(CmdTable[[#This Row],[IsEscaped]], "&lt;ESC&gt;", "")</f>
        <v/>
      </c>
      <c r="R6" s="158" t="str">
        <f>IF(CmdTable[[#This Row],[IsShifted]], "&lt;SI&gt;", "")</f>
        <v/>
      </c>
      <c r="T6" s="2" t="s">
        <v>245</v>
      </c>
      <c r="U6" t="s">
        <v>246</v>
      </c>
    </row>
    <row r="7" spans="1:23" ht="14.25" customHeight="1" x14ac:dyDescent="0.2">
      <c r="A7" s="168" t="str">
        <f>CmdTable[[#This Row],[Column12]]</f>
        <v>oXX,YY</v>
      </c>
      <c r="B7" t="b">
        <v>0</v>
      </c>
      <c r="C7" t="b">
        <v>0</v>
      </c>
      <c r="D7" t="s">
        <v>212</v>
      </c>
      <c r="E7" t="s">
        <v>221</v>
      </c>
      <c r="F7" t="s">
        <v>220</v>
      </c>
      <c r="H7">
        <v>2</v>
      </c>
      <c r="I7" s="71">
        <v>2</v>
      </c>
      <c r="J7" s="159" t="s">
        <v>241</v>
      </c>
      <c r="K7" s="158" t="str">
        <f>SUBSTITUTE(CmdTable[[#This Row],[FieldFmt]], "%L", CmdTable[[#This Row],[Letter]])</f>
        <v>o%V,%V</v>
      </c>
      <c r="L7" s="158" t="str">
        <f>SUBSTITUTE(CmdTable[[#This Row],[Column10]], "%V", "XX", 1)</f>
        <v>oXX,%V</v>
      </c>
      <c r="M7" s="158" t="str">
        <f>SUBSTITUTE(CmdTable[[#This Row],[Column11]], "%V", "YY", 1)</f>
        <v>oXX,YY</v>
      </c>
      <c r="N7" s="158" t="str">
        <f>SUBSTITUTE(CmdTable[[#This Row],[Column112]], "%F", CmdTable[[#This Row],[ForceField1]])</f>
        <v>oXX,YY</v>
      </c>
      <c r="O7" s="158"/>
      <c r="P7" s="158"/>
      <c r="Q7" s="158" t="str">
        <f>IF(CmdTable[[#This Row],[IsEscaped]], "&lt;ESC&gt;", "")</f>
        <v/>
      </c>
      <c r="R7" s="158" t="str">
        <f>IF(CmdTable[[#This Row],[IsShifted]], "&lt;SI&gt;", "")</f>
        <v/>
      </c>
      <c r="T7" s="2">
        <v>4</v>
      </c>
    </row>
    <row r="8" spans="1:23" ht="14.25" customHeight="1" x14ac:dyDescent="0.2">
      <c r="A8" t="str">
        <f>CmdTable[[#This Row],[Column12]]</f>
        <v/>
      </c>
      <c r="E8" t="s">
        <v>215</v>
      </c>
      <c r="F8" t="s">
        <v>224</v>
      </c>
      <c r="I8" s="71"/>
      <c r="J8" s="159"/>
      <c r="K8" s="158" t="str">
        <f>SUBSTITUTE(CmdTable[[#This Row],[FieldFmt]], "%L", CmdTable[[#This Row],[Letter]])</f>
        <v/>
      </c>
      <c r="L8" s="158" t="str">
        <f>SUBSTITUTE(CmdTable[[#This Row],[Column10]], "%V", "XX", 1)</f>
        <v/>
      </c>
      <c r="M8" s="158" t="str">
        <f>SUBSTITUTE(CmdTable[[#This Row],[Column11]], "%V", "YY", 1)</f>
        <v/>
      </c>
      <c r="N8" s="158" t="str">
        <f>SUBSTITUTE(CmdTable[[#This Row],[Column112]], "%F", CmdTable[[#This Row],[ForceField1]])</f>
        <v/>
      </c>
      <c r="O8" s="158"/>
      <c r="P8" s="158"/>
      <c r="Q8" s="158" t="str">
        <f>IF(CmdTable[[#This Row],[IsEscaped]], "&lt;ESC&gt;", "")</f>
        <v/>
      </c>
      <c r="R8" s="158" t="str">
        <f>IF(CmdTable[[#This Row],[IsShifted]], "&lt;SI&gt;", "")</f>
        <v/>
      </c>
      <c r="T8" s="2">
        <v>5</v>
      </c>
    </row>
    <row r="9" spans="1:23" ht="14.25" customHeight="1" x14ac:dyDescent="0.2">
      <c r="A9" t="str">
        <f>CmdTable[[#This Row],[Column12]]</f>
        <v/>
      </c>
      <c r="E9" t="s">
        <v>215</v>
      </c>
      <c r="F9" t="s">
        <v>225</v>
      </c>
      <c r="I9" s="71"/>
      <c r="J9" s="159"/>
      <c r="K9" s="158" t="str">
        <f>SUBSTITUTE(CmdTable[[#This Row],[FieldFmt]], "%L", CmdTable[[#This Row],[Letter]])</f>
        <v/>
      </c>
      <c r="L9" s="158" t="str">
        <f>SUBSTITUTE(CmdTable[[#This Row],[Column10]], "%V", "XX", 1)</f>
        <v/>
      </c>
      <c r="M9" s="158" t="str">
        <f>SUBSTITUTE(CmdTable[[#This Row],[Column11]], "%V", "YY", 1)</f>
        <v/>
      </c>
      <c r="N9" s="158" t="str">
        <f>SUBSTITUTE(CmdTable[[#This Row],[Column112]], "%F", CmdTable[[#This Row],[ForceField1]])</f>
        <v/>
      </c>
      <c r="O9" s="158"/>
      <c r="P9" s="158"/>
      <c r="Q9" s="158" t="str">
        <f>IF(CmdTable[[#This Row],[IsEscaped]], "&lt;ESC&gt;", "")</f>
        <v/>
      </c>
      <c r="R9" s="158" t="str">
        <f>IF(CmdTable[[#This Row],[IsShifted]], "&lt;SI&gt;", "")</f>
        <v/>
      </c>
      <c r="T9" s="2" t="s">
        <v>234</v>
      </c>
    </row>
    <row r="10" spans="1:23" ht="14.25" customHeight="1" x14ac:dyDescent="0.2">
      <c r="A10" t="str">
        <f>CmdTable[[#This Row],[Column12]]</f>
        <v/>
      </c>
      <c r="E10" t="s">
        <v>215</v>
      </c>
      <c r="F10" t="s">
        <v>226</v>
      </c>
      <c r="I10" s="71"/>
      <c r="J10" s="159"/>
      <c r="K10" s="158" t="str">
        <f>SUBSTITUTE(CmdTable[[#This Row],[FieldFmt]], "%L", CmdTable[[#This Row],[Letter]])</f>
        <v/>
      </c>
      <c r="L10" s="158" t="str">
        <f>SUBSTITUTE(CmdTable[[#This Row],[Column10]], "%V", "XX", 1)</f>
        <v/>
      </c>
      <c r="M10" s="158" t="str">
        <f>SUBSTITUTE(CmdTable[[#This Row],[Column11]], "%V", "YY", 1)</f>
        <v/>
      </c>
      <c r="N10" s="158" t="str">
        <f>SUBSTITUTE(CmdTable[[#This Row],[Column112]], "%F", CmdTable[[#This Row],[ForceField1]])</f>
        <v/>
      </c>
      <c r="O10" s="158"/>
      <c r="P10" s="158"/>
      <c r="Q10" s="158" t="str">
        <f>IF(CmdTable[[#This Row],[IsEscaped]], "&lt;ESC&gt;", "")</f>
        <v/>
      </c>
      <c r="R10" s="158" t="str">
        <f>IF(CmdTable[[#This Row],[IsShifted]], "&lt;SI&gt;", "")</f>
        <v/>
      </c>
      <c r="T10" s="2" t="s">
        <v>236</v>
      </c>
    </row>
    <row r="11" spans="1:23" ht="14.25" customHeight="1" x14ac:dyDescent="0.2">
      <c r="A11" t="str">
        <f>CmdTable[[#This Row],[Column12]]</f>
        <v/>
      </c>
      <c r="E11" t="s">
        <v>215</v>
      </c>
      <c r="F11" t="s">
        <v>227</v>
      </c>
      <c r="I11" s="71"/>
      <c r="J11" s="159"/>
      <c r="K11" s="158" t="str">
        <f>SUBSTITUTE(CmdTable[[#This Row],[FieldFmt]], "%L", CmdTable[[#This Row],[Letter]])</f>
        <v/>
      </c>
      <c r="L11" s="158" t="str">
        <f>SUBSTITUTE(CmdTable[[#This Row],[Column10]], "%V", "XX", 1)</f>
        <v/>
      </c>
      <c r="M11" s="158" t="str">
        <f>SUBSTITUTE(CmdTable[[#This Row],[Column11]], "%V", "YY", 1)</f>
        <v/>
      </c>
      <c r="N11" s="158" t="str">
        <f>SUBSTITUTE(CmdTable[[#This Row],[Column112]], "%F", CmdTable[[#This Row],[ForceField1]])</f>
        <v/>
      </c>
      <c r="O11" s="158"/>
      <c r="P11" s="158"/>
      <c r="Q11" s="158" t="str">
        <f>IF(CmdTable[[#This Row],[IsEscaped]], "&lt;ESC&gt;", "")</f>
        <v/>
      </c>
      <c r="R11" s="158" t="str">
        <f>IF(CmdTable[[#This Row],[IsShifted]], "&lt;SI&gt;", "")</f>
        <v/>
      </c>
    </row>
    <row r="12" spans="1:23" ht="14.25" customHeight="1" x14ac:dyDescent="0.2">
      <c r="A12" t="str">
        <f>CmdTable[[#This Row],[Column12]]</f>
        <v/>
      </c>
      <c r="E12" t="s">
        <v>221</v>
      </c>
      <c r="F12" t="s">
        <v>228</v>
      </c>
      <c r="I12" s="71"/>
      <c r="J12" s="159"/>
      <c r="K12" s="158" t="str">
        <f>SUBSTITUTE(CmdTable[[#This Row],[FieldFmt]], "%L", CmdTable[[#This Row],[Letter]])</f>
        <v/>
      </c>
      <c r="L12" s="158" t="str">
        <f>SUBSTITUTE(CmdTable[[#This Row],[Column10]], "%V", "XX", 1)</f>
        <v/>
      </c>
      <c r="M12" s="158" t="str">
        <f>SUBSTITUTE(CmdTable[[#This Row],[Column11]], "%V", "YY", 1)</f>
        <v/>
      </c>
      <c r="N12" s="158" t="str">
        <f>SUBSTITUTE(CmdTable[[#This Row],[Column112]], "%F", CmdTable[[#This Row],[ForceField1]])</f>
        <v/>
      </c>
      <c r="O12" s="158"/>
      <c r="P12" s="158"/>
      <c r="Q12" s="158" t="str">
        <f>IF(CmdTable[[#This Row],[IsEscaped]], "&lt;ESC&gt;", "")</f>
        <v/>
      </c>
      <c r="R12" s="158" t="str">
        <f>IF(CmdTable[[#This Row],[IsShifted]], "&lt;SI&gt;", "")</f>
        <v/>
      </c>
    </row>
    <row r="13" spans="1:23" ht="14.25" customHeight="1" x14ac:dyDescent="0.2">
      <c r="A13" t="str">
        <f>CmdTable[[#This Row],[Column12]]</f>
        <v/>
      </c>
      <c r="E13" t="s">
        <v>221</v>
      </c>
      <c r="F13" t="s">
        <v>229</v>
      </c>
      <c r="I13" s="71"/>
      <c r="J13" s="159"/>
      <c r="K13" s="158" t="str">
        <f>SUBSTITUTE(CmdTable[[#This Row],[FieldFmt]], "%L", CmdTable[[#This Row],[Letter]])</f>
        <v/>
      </c>
      <c r="L13" s="158" t="str">
        <f>SUBSTITUTE(CmdTable[[#This Row],[Column10]], "%V", "XX", 1)</f>
        <v/>
      </c>
      <c r="M13" s="158" t="str">
        <f>SUBSTITUTE(CmdTable[[#This Row],[Column11]], "%V", "YY", 1)</f>
        <v/>
      </c>
      <c r="N13" s="158" t="str">
        <f>SUBSTITUTE(CmdTable[[#This Row],[Column112]], "%F", CmdTable[[#This Row],[ForceField1]])</f>
        <v/>
      </c>
      <c r="O13" s="158"/>
      <c r="P13" s="158"/>
      <c r="Q13" s="158" t="str">
        <f>IF(CmdTable[[#This Row],[IsEscaped]], "&lt;ESC&gt;", "")</f>
        <v/>
      </c>
      <c r="R13" s="158" t="str">
        <f>IF(CmdTable[[#This Row],[IsShifted]], "&lt;SI&gt;", "")</f>
        <v/>
      </c>
    </row>
    <row r="14" spans="1:23" ht="14.25" customHeight="1" x14ac:dyDescent="0.2">
      <c r="A14" t="str">
        <f>CmdTable[[#This Row],[Column12]]</f>
        <v/>
      </c>
      <c r="E14" t="s">
        <v>221</v>
      </c>
      <c r="F14" t="s">
        <v>230</v>
      </c>
      <c r="I14" s="71"/>
      <c r="J14" s="159"/>
      <c r="K14" s="158" t="str">
        <f>SUBSTITUTE(CmdTable[[#This Row],[FieldFmt]], "%L", CmdTable[[#This Row],[Letter]])</f>
        <v/>
      </c>
      <c r="L14" s="158" t="str">
        <f>SUBSTITUTE(CmdTable[[#This Row],[Column10]], "%V", "XX", 1)</f>
        <v/>
      </c>
      <c r="M14" s="158" t="str">
        <f>SUBSTITUTE(CmdTable[[#This Row],[Column11]], "%V", "YY", 1)</f>
        <v/>
      </c>
      <c r="N14" s="158" t="str">
        <f>SUBSTITUTE(CmdTable[[#This Row],[Column112]], "%F", CmdTable[[#This Row],[ForceField1]])</f>
        <v/>
      </c>
      <c r="O14" s="158"/>
      <c r="P14" s="158"/>
      <c r="Q14" s="158" t="str">
        <f>IF(CmdTable[[#This Row],[IsEscaped]], "&lt;ESC&gt;", "")</f>
        <v/>
      </c>
      <c r="R14" s="158" t="str">
        <f>IF(CmdTable[[#This Row],[IsShifted]], "&lt;SI&gt;", "")</f>
        <v/>
      </c>
      <c r="W14" t="s">
        <v>242</v>
      </c>
    </row>
    <row r="15" spans="1:23" ht="14.25" customHeight="1" x14ac:dyDescent="0.2">
      <c r="A15" t="str">
        <f>CmdTable[[#This Row],[Column12]]</f>
        <v/>
      </c>
      <c r="E15" t="s">
        <v>221</v>
      </c>
      <c r="F15" t="s">
        <v>231</v>
      </c>
      <c r="I15" s="71"/>
      <c r="J15" s="159"/>
      <c r="K15" s="158" t="str">
        <f>SUBSTITUTE(CmdTable[[#This Row],[FieldFmt]], "%L", CmdTable[[#This Row],[Letter]])</f>
        <v/>
      </c>
      <c r="L15" s="158" t="str">
        <f>SUBSTITUTE(CmdTable[[#This Row],[Column10]], "%V", "XX", 1)</f>
        <v/>
      </c>
      <c r="M15" s="158" t="str">
        <f>SUBSTITUTE(CmdTable[[#This Row],[Column11]], "%V", "YY", 1)</f>
        <v/>
      </c>
      <c r="N15" s="158" t="str">
        <f>SUBSTITUTE(CmdTable[[#This Row],[Column112]], "%F", CmdTable[[#This Row],[ForceField1]])</f>
        <v/>
      </c>
      <c r="O15" s="158"/>
      <c r="P15" s="158"/>
      <c r="Q15" s="158" t="str">
        <f>IF(CmdTable[[#This Row],[IsEscaped]], "&lt;ESC&gt;", "")</f>
        <v/>
      </c>
      <c r="R15" s="158" t="str">
        <f>IF(CmdTable[[#This Row],[IsShifted]], "&lt;SI&gt;", "")</f>
        <v/>
      </c>
    </row>
    <row r="16" spans="1:23" ht="14.25" customHeight="1" x14ac:dyDescent="0.2">
      <c r="A16" t="str">
        <f>CmdTable[[#This Row],[Column12]]</f>
        <v/>
      </c>
      <c r="E16" t="s">
        <v>221</v>
      </c>
      <c r="F16" t="s">
        <v>232</v>
      </c>
      <c r="G16">
        <v>0</v>
      </c>
      <c r="H16" s="160" t="s">
        <v>236</v>
      </c>
      <c r="I16" s="161" t="s">
        <v>236</v>
      </c>
      <c r="J16" s="159"/>
      <c r="K16" s="158" t="str">
        <f>SUBSTITUTE(CmdTable[[#This Row],[FieldFmt]], "%L", CmdTable[[#This Row],[Letter]])</f>
        <v/>
      </c>
      <c r="L16" s="158" t="str">
        <f>SUBSTITUTE(CmdTable[[#This Row],[Column10]], "%V", "XX", 1)</f>
        <v/>
      </c>
      <c r="M16" s="158" t="str">
        <f>SUBSTITUTE(CmdTable[[#This Row],[Column11]], "%V", "YY", 1)</f>
        <v/>
      </c>
      <c r="N16" s="158" t="str">
        <f>SUBSTITUTE(CmdTable[[#This Row],[Column112]], "%F", CmdTable[[#This Row],[ForceField1]])</f>
        <v/>
      </c>
      <c r="O16" s="158"/>
      <c r="P16" s="158"/>
      <c r="Q16" s="158" t="str">
        <f>IF(CmdTable[[#This Row],[IsEscaped]], "&lt;ESC&gt;", "")</f>
        <v/>
      </c>
      <c r="R16" s="158" t="str">
        <f>IF(CmdTable[[#This Row],[IsShifted]], "&lt;SI&gt;", "")</f>
        <v/>
      </c>
    </row>
    <row r="17" spans="1:18" ht="14.25" customHeight="1" x14ac:dyDescent="0.2">
      <c r="A17" t="str">
        <f>CmdTable[[#This Row],[Column12]]</f>
        <v/>
      </c>
      <c r="E17" t="s">
        <v>221</v>
      </c>
      <c r="F17" t="s">
        <v>232</v>
      </c>
      <c r="G17">
        <v>3</v>
      </c>
      <c r="H17" s="160" t="s">
        <v>234</v>
      </c>
      <c r="I17" s="161" t="s">
        <v>234</v>
      </c>
      <c r="J17" s="159"/>
      <c r="K17" s="158" t="str">
        <f>SUBSTITUTE(CmdTable[[#This Row],[FieldFmt]], "%L", CmdTable[[#This Row],[Letter]])</f>
        <v/>
      </c>
      <c r="L17" s="158" t="str">
        <f>SUBSTITUTE(CmdTable[[#This Row],[Column10]], "%V", "XX", 1)</f>
        <v/>
      </c>
      <c r="M17" s="158" t="str">
        <f>SUBSTITUTE(CmdTable[[#This Row],[Column11]], "%V", "YY", 1)</f>
        <v/>
      </c>
      <c r="N17" s="158" t="str">
        <f>SUBSTITUTE(CmdTable[[#This Row],[Column112]], "%F", CmdTable[[#This Row],[ForceField1]])</f>
        <v/>
      </c>
      <c r="O17" s="158"/>
      <c r="P17" s="158"/>
      <c r="Q17" s="158" t="str">
        <f>IF(CmdTable[[#This Row],[IsEscaped]], "&lt;ESC&gt;", "")</f>
        <v/>
      </c>
      <c r="R17" s="158" t="str">
        <f>IF(CmdTable[[#This Row],[IsShifted]], "&lt;SI&gt;", "")</f>
        <v/>
      </c>
    </row>
    <row r="18" spans="1:18" ht="14.25" customHeight="1" x14ac:dyDescent="0.2">
      <c r="A18" t="str">
        <f>CmdTable[[#This Row],[Column12]]</f>
        <v/>
      </c>
      <c r="I18" s="71"/>
      <c r="J18" s="159"/>
      <c r="K18" s="158" t="str">
        <f>SUBSTITUTE(CmdTable[[#This Row],[FieldFmt]], "%L", CmdTable[[#This Row],[Letter]])</f>
        <v/>
      </c>
      <c r="L18" s="158" t="str">
        <f>SUBSTITUTE(CmdTable[[#This Row],[Column10]], "%V", "XX", 1)</f>
        <v/>
      </c>
      <c r="M18" s="158" t="str">
        <f>SUBSTITUTE(CmdTable[[#This Row],[Column11]], "%V", "YY", 1)</f>
        <v/>
      </c>
      <c r="N18" s="158" t="str">
        <f>SUBSTITUTE(CmdTable[[#This Row],[Column112]], "%F", CmdTable[[#This Row],[ForceField1]])</f>
        <v/>
      </c>
      <c r="O18" s="158"/>
      <c r="P18" s="158"/>
      <c r="Q18" s="158" t="str">
        <f>IF(CmdTable[[#This Row],[IsEscaped]], "&lt;ESC&gt;", "")</f>
        <v/>
      </c>
      <c r="R18" s="158" t="str">
        <f>IF(CmdTable[[#This Row],[IsShifted]], "&lt;SI&gt;", "")</f>
        <v/>
      </c>
    </row>
    <row r="19" spans="1:18" ht="14.25" customHeight="1" x14ac:dyDescent="0.2">
      <c r="A19" t="str">
        <f>CmdTable[[#This Row],[Column12]]</f>
        <v/>
      </c>
      <c r="I19" s="71"/>
      <c r="J19" s="159"/>
      <c r="K19" s="158" t="str">
        <f>SUBSTITUTE(CmdTable[[#This Row],[FieldFmt]], "%L", CmdTable[[#This Row],[Letter]])</f>
        <v/>
      </c>
      <c r="L19" s="158" t="str">
        <f>SUBSTITUTE(CmdTable[[#This Row],[Column10]], "%V", "XX", 1)</f>
        <v/>
      </c>
      <c r="M19" s="158" t="str">
        <f>SUBSTITUTE(CmdTable[[#This Row],[Column11]], "%V", "YY", 1)</f>
        <v/>
      </c>
      <c r="N19" s="158" t="str">
        <f>SUBSTITUTE(CmdTable[[#This Row],[Column112]], "%F", CmdTable[[#This Row],[ForceField1]])</f>
        <v/>
      </c>
      <c r="O19" s="158"/>
      <c r="P19" s="158"/>
      <c r="Q19" s="158" t="str">
        <f>IF(CmdTable[[#This Row],[IsEscaped]], "&lt;ESC&gt;", "")</f>
        <v/>
      </c>
      <c r="R19" s="158" t="str">
        <f>IF(CmdTable[[#This Row],[IsShifted]], "&lt;SI&gt;", "")</f>
        <v/>
      </c>
    </row>
    <row r="20" spans="1:18" ht="14.25" customHeight="1" x14ac:dyDescent="0.2">
      <c r="A20" t="str">
        <f>CmdTable[[#This Row],[Column12]]</f>
        <v/>
      </c>
      <c r="I20" s="71"/>
      <c r="J20" s="159"/>
      <c r="K20" s="158" t="str">
        <f>SUBSTITUTE(CmdTable[[#This Row],[FieldFmt]], "%L", CmdTable[[#This Row],[Letter]])</f>
        <v/>
      </c>
      <c r="L20" s="158" t="str">
        <f>SUBSTITUTE(CmdTable[[#This Row],[Column10]], "%V", "XX", 1)</f>
        <v/>
      </c>
      <c r="M20" s="158" t="str">
        <f>SUBSTITUTE(CmdTable[[#This Row],[Column11]], "%V", "YY", 1)</f>
        <v/>
      </c>
      <c r="N20" s="158" t="str">
        <f>SUBSTITUTE(CmdTable[[#This Row],[Column112]], "%F", CmdTable[[#This Row],[ForceField1]])</f>
        <v/>
      </c>
      <c r="O20" s="158"/>
      <c r="P20" s="158"/>
      <c r="Q20" s="158" t="str">
        <f>IF(CmdTable[[#This Row],[IsEscaped]], "&lt;ESC&gt;", "")</f>
        <v/>
      </c>
      <c r="R20" s="158" t="str">
        <f>IF(CmdTable[[#This Row],[IsShifted]], "&lt;SI&gt;", "")</f>
        <v/>
      </c>
    </row>
  </sheetData>
  <mergeCells count="1">
    <mergeCell ref="A1:R1"/>
  </mergeCells>
  <phoneticPr fontId="47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140E5-AE99-418B-9C78-036E12324E6E}">
  <dimension ref="A1:N17"/>
  <sheetViews>
    <sheetView tabSelected="1" workbookViewId="0">
      <selection activeCell="H23" sqref="H23"/>
    </sheetView>
  </sheetViews>
  <sheetFormatPr defaultRowHeight="14.25" x14ac:dyDescent="0.2"/>
  <cols>
    <col min="2" max="2" width="22.5546875" bestFit="1" customWidth="1"/>
    <col min="3" max="3" width="3.44140625" customWidth="1"/>
    <col min="4" max="4" width="7.33203125" bestFit="1" customWidth="1"/>
    <col min="5" max="5" width="5.33203125" bestFit="1" customWidth="1"/>
    <col min="6" max="7" width="5.6640625" bestFit="1" customWidth="1"/>
    <col min="8" max="8" width="5.77734375" bestFit="1" customWidth="1"/>
    <col min="9" max="9" width="5.6640625" bestFit="1" customWidth="1"/>
    <col min="10" max="10" width="28.109375" bestFit="1" customWidth="1"/>
  </cols>
  <sheetData>
    <row r="1" spans="1:14" ht="19.5" x14ac:dyDescent="0.2">
      <c r="A1" s="182" t="s">
        <v>247</v>
      </c>
      <c r="B1" s="183"/>
      <c r="D1" s="173" t="s">
        <v>263</v>
      </c>
      <c r="E1" s="173"/>
      <c r="F1" s="173"/>
      <c r="G1" s="173"/>
      <c r="H1" s="173"/>
      <c r="I1" s="173"/>
      <c r="J1" s="173"/>
      <c r="L1" s="173" t="s">
        <v>248</v>
      </c>
      <c r="M1" s="173"/>
      <c r="N1" s="173"/>
    </row>
    <row r="2" spans="1:14" x14ac:dyDescent="0.2">
      <c r="A2" t="s">
        <v>6</v>
      </c>
      <c r="B2" s="10" t="s">
        <v>67</v>
      </c>
      <c r="D2" t="s">
        <v>6</v>
      </c>
      <c r="E2" t="s">
        <v>266</v>
      </c>
      <c r="F2" t="s">
        <v>267</v>
      </c>
      <c r="G2" t="s">
        <v>268</v>
      </c>
      <c r="H2" t="s">
        <v>269</v>
      </c>
      <c r="I2" t="s">
        <v>270</v>
      </c>
      <c r="J2" s="10" t="s">
        <v>271</v>
      </c>
      <c r="L2" s="184" t="s">
        <v>249</v>
      </c>
      <c r="M2" s="184"/>
      <c r="N2" s="184"/>
    </row>
    <row r="3" spans="1:14" x14ac:dyDescent="0.2">
      <c r="A3" t="s">
        <v>250</v>
      </c>
      <c r="B3" s="158" t="str">
        <f>SUBSTITUTE(LookupTypeName, "$type$", TokenLookupTable[[#This Row],[Type]])</f>
        <v>["None"] = JTT.None,</v>
      </c>
      <c r="D3" t="s">
        <v>251</v>
      </c>
      <c r="J3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[Str] = [],</v>
      </c>
      <c r="L3" s="184" t="s">
        <v>272</v>
      </c>
      <c r="M3" s="184"/>
      <c r="N3" s="184"/>
    </row>
    <row r="4" spans="1:14" x14ac:dyDescent="0.2">
      <c r="A4" t="s">
        <v>251</v>
      </c>
      <c r="B4" s="158" t="str">
        <f>SUBSTITUTE(LookupTypeName, "$type$", TokenLookupTable[[#This Row],[Type]])</f>
        <v>["Str"] = JTT.Str,</v>
      </c>
      <c r="D4" t="s">
        <v>252</v>
      </c>
      <c r="J4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[Num] = [],</v>
      </c>
      <c r="L4" s="184"/>
      <c r="M4" s="184"/>
      <c r="N4" s="184"/>
    </row>
    <row r="5" spans="1:14" x14ac:dyDescent="0.2">
      <c r="A5" t="s">
        <v>252</v>
      </c>
      <c r="B5" s="158" t="str">
        <f>SUBSTITUTE(LookupTypeName, "$type$", TokenLookupTable[[#This Row],[Type]])</f>
        <v>["Num"] = JTT.Num,</v>
      </c>
      <c r="D5" t="s">
        <v>20</v>
      </c>
      <c r="J5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[Bool] = [],</v>
      </c>
      <c r="L5" s="184"/>
      <c r="M5" s="184"/>
      <c r="N5" s="184"/>
    </row>
    <row r="6" spans="1:14" x14ac:dyDescent="0.2">
      <c r="A6" t="s">
        <v>20</v>
      </c>
      <c r="B6" s="158" t="str">
        <f>SUBSTITUTE(LookupTypeName, "$type$", TokenLookupTable[[#This Row],[Type]])</f>
        <v>["Bool"] = JTT.Bool,</v>
      </c>
      <c r="D6" t="s">
        <v>253</v>
      </c>
      <c r="J6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[Null] = [],</v>
      </c>
      <c r="L6" s="184"/>
      <c r="M6" s="184"/>
      <c r="N6" s="184"/>
    </row>
    <row r="7" spans="1:14" x14ac:dyDescent="0.2">
      <c r="A7" t="s">
        <v>253</v>
      </c>
      <c r="B7" s="158" t="str">
        <f>SUBSTITUTE(LookupTypeName, "$type$", TokenLookupTable[[#This Row],[Type]])</f>
        <v>["Null"] = JTT.Null,</v>
      </c>
      <c r="D7" t="s">
        <v>260</v>
      </c>
      <c r="J7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[Cm] = [],</v>
      </c>
    </row>
    <row r="8" spans="1:14" x14ac:dyDescent="0.2">
      <c r="A8" t="s">
        <v>260</v>
      </c>
      <c r="B8" s="158" t="str">
        <f>SUBSTITUTE(LookupTypeName, "$type$", TokenLookupTable[[#This Row],[Type]])</f>
        <v>["Cm"] = JTT.Cm,</v>
      </c>
      <c r="D8" t="s">
        <v>261</v>
      </c>
      <c r="J8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[Ao] = [],</v>
      </c>
    </row>
    <row r="9" spans="1:14" x14ac:dyDescent="0.2">
      <c r="A9" t="s">
        <v>261</v>
      </c>
      <c r="B9" s="158" t="str">
        <f>SUBSTITUTE(LookupTypeName, "$type$", TokenLookupTable[[#This Row],[Type]])</f>
        <v>["Ao"] = JTT.Ao,</v>
      </c>
      <c r="D9" t="s">
        <v>262</v>
      </c>
      <c r="J9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[Ac] = [],</v>
      </c>
    </row>
    <row r="10" spans="1:14" x14ac:dyDescent="0.2">
      <c r="A10" t="s">
        <v>262</v>
      </c>
      <c r="B10" s="158" t="str">
        <f>SUBSTITUTE(LookupTypeName, "$type$", TokenLookupTable[[#This Row],[Type]])</f>
        <v>["Ac"] = JTT.Ac,</v>
      </c>
      <c r="D10" t="s">
        <v>257</v>
      </c>
      <c r="J10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[Co] = [],</v>
      </c>
    </row>
    <row r="11" spans="1:14" x14ac:dyDescent="0.2">
      <c r="A11" t="s">
        <v>257</v>
      </c>
      <c r="B11" s="158" t="str">
        <f>SUBSTITUTE(LookupTypeName, "$type$", TokenLookupTable[[#This Row],[Type]])</f>
        <v>["Co"] = JTT.Co,</v>
      </c>
      <c r="D11" t="s">
        <v>259</v>
      </c>
      <c r="J11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[Bo] = [],</v>
      </c>
    </row>
    <row r="12" spans="1:14" x14ac:dyDescent="0.2">
      <c r="A12" t="s">
        <v>259</v>
      </c>
      <c r="B12" s="158" t="str">
        <f>SUBSTITUTE(LookupTypeName, "$type$", TokenLookupTable[[#This Row],[Type]])</f>
        <v>["Bo"] = JTT.Bo,</v>
      </c>
      <c r="D12" t="s">
        <v>258</v>
      </c>
      <c r="J12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[Bc] = [],</v>
      </c>
    </row>
    <row r="13" spans="1:14" x14ac:dyDescent="0.2">
      <c r="A13" t="s">
        <v>258</v>
      </c>
      <c r="B13" s="158" t="str">
        <f>SUBSTITUTE(LookupTypeName, "$type$", TokenLookupTable[[#This Row],[Type]])</f>
        <v>["Bc"] = JTT.Bc,</v>
      </c>
      <c r="D13" t="s">
        <v>256</v>
      </c>
      <c r="J13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[Property] = [],</v>
      </c>
    </row>
    <row r="14" spans="1:14" x14ac:dyDescent="0.2">
      <c r="A14" t="s">
        <v>256</v>
      </c>
      <c r="B14" s="13" t="str">
        <f>SUBSTITUTE(LookupTypeName, "$type$", TokenLookupTable[[#This Row],[Type]])</f>
        <v>["Property"] = JTT.Property,</v>
      </c>
      <c r="D14" t="s">
        <v>264</v>
      </c>
      <c r="J14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[Object] = [],</v>
      </c>
    </row>
    <row r="15" spans="1:14" x14ac:dyDescent="0.2">
      <c r="A15" t="s">
        <v>264</v>
      </c>
      <c r="B15" s="13" t="str">
        <f>SUBSTITUTE(LookupTypeName, "$type$", TokenLookupTable[[#This Row],[Type]])</f>
        <v>["Object"] = JTT.Object,</v>
      </c>
      <c r="D15" t="s">
        <v>255</v>
      </c>
      <c r="J15" s="158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[Array] = [],</v>
      </c>
    </row>
    <row r="16" spans="1:14" x14ac:dyDescent="0.2">
      <c r="A16" t="s">
        <v>255</v>
      </c>
      <c r="B16" s="13" t="str">
        <f>SUBSTITUTE(LookupTypeName, "$type$", TokenLookupTable[[#This Row],[Type]])</f>
        <v>["Array"] = JTT.Array,</v>
      </c>
      <c r="D16" t="s">
        <v>254</v>
      </c>
      <c r="E16" t="s">
        <v>265</v>
      </c>
      <c r="F16" t="s">
        <v>252</v>
      </c>
      <c r="G16" t="s">
        <v>20</v>
      </c>
      <c r="H16" t="s">
        <v>253</v>
      </c>
      <c r="I16" t="s">
        <v>251</v>
      </c>
      <c r="J16" s="13" t="str">
        <f>_xlfn.LET(
_xlpm.types, _xlfn.TEXTJOIN(",", TRUE, TokenCompatTable[[#This Row],[Alias1]:[Alias5]]),
_xlpm.step1, SUBSTITUTE(TokenCompat, "$type$", TokenCompatTable[[#This Row],[Type]]),
_xlpm.step2, SUBSTITUTE(_xlpm.step1, "$types$", _xlpm.types), _xlpm.step2)</f>
        <v>[Value] = [Undef,Num,Bool,Null,Str],</v>
      </c>
    </row>
    <row r="17" spans="1:2" x14ac:dyDescent="0.2">
      <c r="A17" t="s">
        <v>254</v>
      </c>
      <c r="B17" s="13" t="str">
        <f>SUBSTITUTE(LookupTypeName, "$type$", TokenLookupTable[[#This Row],[Type]])</f>
        <v>["Value"] = JTT.Value,</v>
      </c>
    </row>
  </sheetData>
  <mergeCells count="8">
    <mergeCell ref="L6:N6"/>
    <mergeCell ref="D1:J1"/>
    <mergeCell ref="A1:B1"/>
    <mergeCell ref="L1:N1"/>
    <mergeCell ref="L2:N2"/>
    <mergeCell ref="L3:N3"/>
    <mergeCell ref="L4:N4"/>
    <mergeCell ref="L5:N5"/>
  </mergeCells>
  <phoneticPr fontId="47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Key</vt:lpstr>
      <vt:lpstr>Sheet1</vt:lpstr>
      <vt:lpstr>Sheet2</vt:lpstr>
      <vt:lpstr>Bool</vt:lpstr>
      <vt:lpstr>CellFontSize_Override</vt:lpstr>
      <vt:lpstr>HeaderFontSize_Override</vt:lpstr>
      <vt:lpstr>LookupTypeName</vt:lpstr>
      <vt:lpstr>StyleNames</vt:lpstr>
      <vt:lpstr>TitleFontSize_Override</vt:lpstr>
      <vt:lpstr>TokenCompat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2026-01-11T07:11:35Z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