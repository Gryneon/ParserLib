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xcelWorkbook"/>
  <mc:AlternateContent xmlns:mc="http://schemas.openxmlformats.org/markup-compatibility/2006">
    <mc:Choice Requires="x15">
      <x15ac:absPath xmlns:x15ac="http://schemas.microsoft.com/office/spreadsheetml/2010/11/ac" url="C:\Users\johntay4\source\repos\Git\ParserLib\Specification.IPL\Validation\"/>
    </mc:Choice>
  </mc:AlternateContent>
  <xr:revisionPtr revIDLastSave="0" documentId="13_ncr:1_{E414DB5F-7485-4943-988A-56AE7B6179B3}" xr6:coauthVersionLast="47" xr6:coauthVersionMax="47" xr10:uidLastSave="{00000000-0000-0000-0000-000000000000}"/>
  <bookViews>
    <workbookView xWindow="-120" yWindow="-120" windowWidth="29040" windowHeight="15720" activeTab="1" xr2:uid="{3D25F5D8-A161-4D96-B073-F47C9E35C0F8}"/>
  </bookViews>
  <sheets>
    <sheet name="Key" sheetId="2" r:id="rId1"/>
    <sheet name="Sheet1" sheetId="1" r:id="rId2"/>
  </sheets>
  <functionGroups builtInGroupCount="19"/>
  <externalReferences>
    <externalReference r:id="rId3"/>
  </externalReferences>
  <definedNames>
    <definedName name="_xlpm.b" hidden="1" xlm="1">#NAME?</definedName>
    <definedName name="_xlpm.cact" hidden="1" xlm="1">#NAME?</definedName>
    <definedName name="_xlpm.cell" hidden="1" xlm="1">#NAME?</definedName>
    <definedName name="_xlpm.ched" hidden="1" xlm="1">#NAME?</definedName>
    <definedName name="_xlpm.chky" hidden="1" xlm="1">#NAME?</definedName>
    <definedName name="_xlpm.ckey" hidden="1" xlm="1">#NAME?</definedName>
    <definedName name="_xlpm.con" hidden="1" xlm="1">#NAME?</definedName>
    <definedName name="_xlpm.f" hidden="1" xlm="1">#NAME?</definedName>
    <definedName name="_xlpm.o" hidden="1" xlm="1">#NAME?</definedName>
    <definedName name="_xlpm.ov" hidden="1" xlm="1">#NAME?</definedName>
    <definedName name="_xlpm.ovn" hidden="1" xlm="1">#NAME?</definedName>
    <definedName name="_xlpm.p" hidden="1" xlm="1">#NAME?</definedName>
    <definedName name="_xlpm.s" hidden="1" xlm="1">#NAME?</definedName>
    <definedName name="_xlpm.step1" hidden="1" xlm="1">#NAME?</definedName>
    <definedName name="_xlpm.use" hidden="1" xlm="1">#NAME?</definedName>
    <definedName name="Bool">BoolTable[Bool]</definedName>
    <definedName name="CellFontSize_Override">SizeOverrideTable[Cells]</definedName>
    <definedName name="HeaderFontSize_Override">SizeOverrideTable[Headers]</definedName>
    <definedName name="StyleNames">KeyTable[StyleName]</definedName>
    <definedName name="TitleFontSize_Override">SizeOverrideTable[Cell Title]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" i="1" l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M7" i="1"/>
  <c r="M3" i="1"/>
  <c r="M4" i="1"/>
  <c r="M5" i="1"/>
  <c r="M6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L5" i="1"/>
  <c r="L6" i="1"/>
  <c r="L7" i="1"/>
  <c r="L8" i="1"/>
  <c r="L9" i="1"/>
  <c r="L10" i="1"/>
  <c r="L17" i="1"/>
  <c r="L18" i="1"/>
  <c r="A18" i="1" s="1"/>
  <c r="L19" i="1"/>
  <c r="A19" i="1" s="1"/>
  <c r="L20" i="1"/>
  <c r="A20" i="1" s="1"/>
  <c r="A5" i="1"/>
  <c r="A7" i="1"/>
  <c r="K3" i="1"/>
  <c r="L3" i="1" s="1"/>
  <c r="K4" i="1"/>
  <c r="L4" i="1" s="1"/>
  <c r="K5" i="1"/>
  <c r="K6" i="1"/>
  <c r="K7" i="1"/>
  <c r="K8" i="1"/>
  <c r="K9" i="1"/>
  <c r="K10" i="1"/>
  <c r="K11" i="1"/>
  <c r="L11" i="1" s="1"/>
  <c r="A11" i="1" s="1"/>
  <c r="K12" i="1"/>
  <c r="L12" i="1" s="1"/>
  <c r="A12" i="1" s="1"/>
  <c r="K13" i="1"/>
  <c r="L13" i="1" s="1"/>
  <c r="A13" i="1" s="1"/>
  <c r="K14" i="1"/>
  <c r="L14" i="1" s="1"/>
  <c r="A14" i="1" s="1"/>
  <c r="K15" i="1"/>
  <c r="L15" i="1" s="1"/>
  <c r="A15" i="1" s="1"/>
  <c r="K16" i="1"/>
  <c r="L16" i="1" s="1"/>
  <c r="A16" i="1" s="1"/>
  <c r="K17" i="1"/>
  <c r="K18" i="1"/>
  <c r="K19" i="1"/>
  <c r="K20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53" i="2" a="1"/>
  <c r="Q53" i="2" s="1"/>
  <c r="P53" i="2" a="1"/>
  <c r="P53" i="2" s="1"/>
  <c r="B53" i="2"/>
  <c r="O53" i="2" s="1" a="1"/>
  <c r="O53" i="2" s="1"/>
  <c r="Q52" i="2" a="1"/>
  <c r="Q52" i="2" s="1"/>
  <c r="B52" i="2"/>
  <c r="O52" i="2" s="1" a="1"/>
  <c r="O52" i="2" s="1"/>
  <c r="Q51" i="2" a="1"/>
  <c r="Q51" i="2" s="1"/>
  <c r="B51" i="2"/>
  <c r="P51" i="2" s="1" a="1"/>
  <c r="P51" i="2" s="1"/>
  <c r="Q50" i="2" a="1"/>
  <c r="Q50" i="2" s="1"/>
  <c r="B50" i="2"/>
  <c r="P50" i="2" s="1" a="1"/>
  <c r="P50" i="2" s="1"/>
  <c r="Q49" i="2" a="1"/>
  <c r="Q49" i="2" s="1"/>
  <c r="B49" i="2"/>
  <c r="P49" i="2" s="1" a="1"/>
  <c r="P49" i="2" s="1"/>
  <c r="Q48" i="2"/>
  <c r="Q48" i="2" a="1"/>
  <c r="B48" i="2"/>
  <c r="P48" i="2" s="1" a="1"/>
  <c r="P48" i="2" s="1"/>
  <c r="Q47" i="2" a="1"/>
  <c r="Q47" i="2" s="1"/>
  <c r="B47" i="2"/>
  <c r="P47" i="2" s="1" a="1"/>
  <c r="P47" i="2" s="1"/>
  <c r="Q46" i="2" a="1"/>
  <c r="Q46" i="2" s="1"/>
  <c r="B46" i="2"/>
  <c r="O46" i="2" s="1" a="1"/>
  <c r="O46" i="2" s="1"/>
  <c r="Q45" i="2" a="1"/>
  <c r="Q45" i="2" s="1"/>
  <c r="B45" i="2"/>
  <c r="O45" i="2" s="1" a="1"/>
  <c r="O45" i="2" s="1"/>
  <c r="Q44" i="2" a="1"/>
  <c r="Q44" i="2" s="1"/>
  <c r="B44" i="2"/>
  <c r="Q43" i="2" a="1"/>
  <c r="Q43" i="2" s="1"/>
  <c r="B43" i="2"/>
  <c r="Q42" i="2" a="1"/>
  <c r="Q42" i="2" s="1"/>
  <c r="B42" i="2"/>
  <c r="P42" i="2" s="1" a="1"/>
  <c r="P42" i="2" s="1"/>
  <c r="Q41" i="2" a="1"/>
  <c r="Q41" i="2" s="1"/>
  <c r="B41" i="2"/>
  <c r="O41" i="2" s="1" a="1"/>
  <c r="O41" i="2" s="1"/>
  <c r="Q40" i="2" a="1"/>
  <c r="Q40" i="2" s="1"/>
  <c r="B40" i="2"/>
  <c r="O40" i="2" s="1" a="1"/>
  <c r="O40" i="2" s="1"/>
  <c r="Q39" i="2" a="1"/>
  <c r="Q39" i="2" s="1"/>
  <c r="B39" i="2"/>
  <c r="P39" i="2" s="1" a="1"/>
  <c r="P39" i="2" s="1"/>
  <c r="Q38" i="2" a="1"/>
  <c r="Q38" i="2" s="1"/>
  <c r="B38" i="2"/>
  <c r="Q37" i="2" a="1"/>
  <c r="Q37" i="2" s="1"/>
  <c r="B37" i="2"/>
  <c r="P37" i="2" s="1" a="1"/>
  <c r="P37" i="2" s="1"/>
  <c r="Q36" i="2" a="1"/>
  <c r="Q36" i="2" s="1"/>
  <c r="B36" i="2"/>
  <c r="P36" i="2" s="1" a="1"/>
  <c r="P36" i="2" s="1"/>
  <c r="Q35" i="2" a="1"/>
  <c r="Q35" i="2" s="1"/>
  <c r="B35" i="2"/>
  <c r="P35" i="2" s="1" a="1"/>
  <c r="P35" i="2" s="1"/>
  <c r="Q34" i="2" a="1"/>
  <c r="Q34" i="2" s="1"/>
  <c r="B34" i="2"/>
  <c r="O34" i="2" s="1" a="1"/>
  <c r="O34" i="2" s="1"/>
  <c r="Q33" i="2" a="1"/>
  <c r="Q33" i="2" s="1"/>
  <c r="B33" i="2"/>
  <c r="O33" i="2" s="1" a="1"/>
  <c r="O33" i="2" s="1"/>
  <c r="Q32" i="2" a="1"/>
  <c r="Q32" i="2" s="1"/>
  <c r="B32" i="2"/>
  <c r="Q31" i="2" a="1"/>
  <c r="Q31" i="2" s="1"/>
  <c r="B31" i="2"/>
  <c r="P31" i="2" s="1" a="1"/>
  <c r="P31" i="2" s="1"/>
  <c r="Q30" i="2" a="1"/>
  <c r="Q30" i="2" s="1"/>
  <c r="B30" i="2"/>
  <c r="P30" i="2" s="1" a="1"/>
  <c r="P30" i="2" s="1"/>
  <c r="Q29" i="2" a="1"/>
  <c r="Q29" i="2" s="1"/>
  <c r="B29" i="2"/>
  <c r="O29" i="2" s="1" a="1"/>
  <c r="O29" i="2" s="1"/>
  <c r="Q28" i="2" a="1"/>
  <c r="Q28" i="2" s="1"/>
  <c r="B28" i="2"/>
  <c r="O28" i="2" s="1" a="1"/>
  <c r="O28" i="2" s="1"/>
  <c r="Q27" i="2" a="1"/>
  <c r="Q27" i="2" s="1"/>
  <c r="B27" i="2"/>
  <c r="P27" i="2" s="1" a="1"/>
  <c r="P27" i="2" s="1"/>
  <c r="Q26" i="2" a="1"/>
  <c r="Q26" i="2" s="1"/>
  <c r="B26" i="2"/>
  <c r="Q25" i="2" a="1"/>
  <c r="Q25" i="2" s="1"/>
  <c r="B25" i="2"/>
  <c r="P25" i="2" s="1" a="1"/>
  <c r="P25" i="2" s="1"/>
  <c r="Q24" i="2" a="1"/>
  <c r="Q24" i="2" s="1"/>
  <c r="B24" i="2"/>
  <c r="P24" i="2" s="1" a="1"/>
  <c r="P24" i="2" s="1"/>
  <c r="Q23" i="2" a="1"/>
  <c r="Q23" i="2" s="1"/>
  <c r="B23" i="2"/>
  <c r="O23" i="2" s="1" a="1"/>
  <c r="O23" i="2" s="1"/>
  <c r="Q22" i="2" a="1"/>
  <c r="Q22" i="2" s="1"/>
  <c r="B22" i="2"/>
  <c r="O22" i="2" s="1" a="1"/>
  <c r="O22" i="2" s="1"/>
  <c r="Q21" i="2" a="1"/>
  <c r="Q21" i="2" s="1"/>
  <c r="B21" i="2"/>
  <c r="O21" i="2" s="1" a="1"/>
  <c r="O21" i="2" s="1"/>
  <c r="Q20" i="2" a="1"/>
  <c r="Q20" i="2" s="1"/>
  <c r="B20" i="2"/>
  <c r="Q19" i="2" a="1"/>
  <c r="Q19" i="2" s="1"/>
  <c r="B19" i="2"/>
  <c r="P19" i="2" s="1" a="1"/>
  <c r="P19" i="2" s="1"/>
  <c r="Q18" i="2" a="1"/>
  <c r="Q18" i="2" s="1"/>
  <c r="B18" i="2"/>
  <c r="P18" i="2" s="1" a="1"/>
  <c r="P18" i="2" s="1"/>
  <c r="Q17" i="2" a="1"/>
  <c r="Q17" i="2" s="1"/>
  <c r="B17" i="2"/>
  <c r="O17" i="2" s="1" a="1"/>
  <c r="O17" i="2" s="1"/>
  <c r="Q16" i="2" a="1"/>
  <c r="Q16" i="2" s="1"/>
  <c r="B16" i="2"/>
  <c r="O16" i="2" s="1" a="1"/>
  <c r="O16" i="2" s="1"/>
  <c r="Q15" i="2" a="1"/>
  <c r="Q15" i="2" s="1"/>
  <c r="B15" i="2"/>
  <c r="P15" i="2" s="1" a="1"/>
  <c r="P15" i="2" s="1"/>
  <c r="Q14" i="2" a="1"/>
  <c r="Q14" i="2" s="1"/>
  <c r="B14" i="2"/>
  <c r="Q13" i="2" a="1"/>
  <c r="Q13" i="2" s="1"/>
  <c r="B13" i="2"/>
  <c r="P13" i="2" s="1" a="1"/>
  <c r="P13" i="2" s="1"/>
  <c r="Q12" i="2" a="1"/>
  <c r="Q12" i="2" s="1"/>
  <c r="B12" i="2"/>
  <c r="O12" i="2" s="1" a="1"/>
  <c r="O12" i="2" s="1"/>
  <c r="Q11" i="2" a="1"/>
  <c r="Q11" i="2" s="1"/>
  <c r="B11" i="2"/>
  <c r="O11" i="2" s="1" a="1"/>
  <c r="O11" i="2" s="1"/>
  <c r="Q10" i="2" a="1"/>
  <c r="Q10" i="2" s="1"/>
  <c r="B10" i="2"/>
  <c r="O10" i="2" s="1" a="1"/>
  <c r="O10" i="2" s="1"/>
  <c r="Q9" i="2" a="1"/>
  <c r="Q9" i="2" s="1"/>
  <c r="B9" i="2"/>
  <c r="O9" i="2" s="1" a="1"/>
  <c r="O9" i="2" s="1"/>
  <c r="Q8" i="2" a="1"/>
  <c r="Q8" i="2" s="1"/>
  <c r="B8" i="2"/>
  <c r="Q7" i="2" a="1"/>
  <c r="Q7" i="2" s="1"/>
  <c r="B7" i="2"/>
  <c r="P7" i="2" s="1" a="1"/>
  <c r="P7" i="2" s="1"/>
  <c r="Q6" i="2" a="1"/>
  <c r="Q6" i="2" s="1"/>
  <c r="B6" i="2"/>
  <c r="P6" i="2" s="1" a="1"/>
  <c r="P6" i="2" s="1"/>
  <c r="Q5" i="2" a="1"/>
  <c r="Q5" i="2" s="1"/>
  <c r="B5" i="2"/>
  <c r="O5" i="2" s="1" a="1"/>
  <c r="O5" i="2" s="1"/>
  <c r="Q4" i="2" a="1"/>
  <c r="Q4" i="2" s="1"/>
  <c r="P4" i="2" a="1"/>
  <c r="P4" i="2" s="1"/>
  <c r="B4" i="2"/>
  <c r="O4" i="2" s="1" a="1"/>
  <c r="O4" i="2" s="1"/>
  <c r="Q3" i="2" a="1"/>
  <c r="Q3" i="2" s="1"/>
  <c r="B3" i="2"/>
  <c r="A4" i="1" l="1"/>
  <c r="A3" i="1"/>
  <c r="A17" i="1"/>
  <c r="A10" i="1"/>
  <c r="A9" i="1"/>
  <c r="A8" i="1"/>
  <c r="A6" i="1"/>
  <c r="P11" i="2" a="1"/>
  <c r="P11" i="2" s="1"/>
  <c r="P45" i="2" a="1"/>
  <c r="P45" i="2" s="1"/>
  <c r="P40" i="2" a="1"/>
  <c r="P40" i="2" s="1"/>
  <c r="P12" i="2" a="1"/>
  <c r="P12" i="2" s="1"/>
  <c r="O36" i="2" a="1"/>
  <c r="O36" i="2" s="1"/>
  <c r="O35" i="2" a="1"/>
  <c r="O35" i="2" s="1"/>
  <c r="O24" i="2" a="1"/>
  <c r="O24" i="2" s="1"/>
  <c r="P28" i="2" a="1"/>
  <c r="P28" i="2" s="1"/>
  <c r="P33" i="2" a="1"/>
  <c r="P33" i="2" s="1"/>
  <c r="P16" i="2" a="1"/>
  <c r="P16" i="2" s="1"/>
  <c r="P21" i="2" a="1"/>
  <c r="P21" i="2" s="1"/>
  <c r="P41" i="2" a="1"/>
  <c r="P41" i="2" s="1"/>
  <c r="P46" i="2" a="1"/>
  <c r="P46" i="2" s="1"/>
  <c r="O47" i="2" a="1"/>
  <c r="O47" i="2" s="1"/>
  <c r="P9" i="2" a="1"/>
  <c r="P9" i="2" s="1"/>
  <c r="P29" i="2" a="1"/>
  <c r="P29" i="2" s="1"/>
  <c r="P23" i="2" a="1"/>
  <c r="P23" i="2" s="1"/>
  <c r="O48" i="2" a="1"/>
  <c r="O48" i="2" s="1"/>
  <c r="P52" i="2" a="1"/>
  <c r="P52" i="2" s="1"/>
  <c r="P34" i="2" a="1"/>
  <c r="P34" i="2" s="1"/>
  <c r="P17" i="2" a="1"/>
  <c r="P17" i="2" s="1"/>
  <c r="P22" i="2" a="1"/>
  <c r="P22" i="2" s="1"/>
  <c r="P5" i="2" a="1"/>
  <c r="P5" i="2" s="1"/>
  <c r="P10" i="2" a="1"/>
  <c r="P10" i="2" s="1"/>
  <c r="O7" i="2" a="1"/>
  <c r="O7" i="2" s="1"/>
  <c r="O30" i="2" a="1"/>
  <c r="O30" i="2" s="1"/>
  <c r="O13" i="2" a="1"/>
  <c r="O13" i="2" s="1"/>
  <c r="O19" i="2" a="1"/>
  <c r="O19" i="2" s="1"/>
  <c r="O42" i="2" a="1"/>
  <c r="O42" i="2" s="1"/>
  <c r="O31" i="2" a="1"/>
  <c r="O31" i="2" s="1"/>
  <c r="P14" i="2" a="1"/>
  <c r="P14" i="2" s="1"/>
  <c r="O14" i="2" a="1"/>
  <c r="O14" i="2" s="1"/>
  <c r="P43" i="2" a="1"/>
  <c r="P43" i="2" s="1"/>
  <c r="O43" i="2" a="1"/>
  <c r="O43" i="2" s="1"/>
  <c r="P3" i="2" a="1"/>
  <c r="P3" i="2" s="1"/>
  <c r="O3" i="2" a="1"/>
  <c r="O3" i="2" s="1"/>
  <c r="P32" i="2" a="1"/>
  <c r="P32" i="2" s="1"/>
  <c r="O32" i="2" a="1"/>
  <c r="O32" i="2" s="1"/>
  <c r="P38" i="2" a="1"/>
  <c r="P38" i="2" s="1"/>
  <c r="O38" i="2" a="1"/>
  <c r="O38" i="2" s="1"/>
  <c r="P8" i="2" a="1"/>
  <c r="P8" i="2" s="1"/>
  <c r="O8" i="2" a="1"/>
  <c r="O8" i="2" s="1"/>
  <c r="O25" i="2" a="1"/>
  <c r="O25" i="2" s="1"/>
  <c r="O49" i="2" a="1"/>
  <c r="O49" i="2" s="1"/>
  <c r="P20" i="2" a="1"/>
  <c r="P20" i="2" s="1"/>
  <c r="O20" i="2" a="1"/>
  <c r="O20" i="2" s="1"/>
  <c r="O37" i="2" a="1"/>
  <c r="O37" i="2" s="1"/>
  <c r="P26" i="2" a="1"/>
  <c r="P26" i="2" s="1"/>
  <c r="O26" i="2" a="1"/>
  <c r="O26" i="2" s="1"/>
  <c r="O6" i="2" a="1"/>
  <c r="O6" i="2" s="1"/>
  <c r="P44" i="2" a="1"/>
  <c r="P44" i="2" s="1"/>
  <c r="O44" i="2" a="1"/>
  <c r="O44" i="2" s="1"/>
  <c r="O18" i="2" a="1"/>
  <c r="O18" i="2" s="1"/>
  <c r="O15" i="2" a="1"/>
  <c r="O15" i="2" s="1"/>
  <c r="O27" i="2" a="1"/>
  <c r="O27" i="2" s="1"/>
  <c r="O39" i="2" a="1"/>
  <c r="O39" i="2" s="1"/>
  <c r="O51" i="2" a="1"/>
  <c r="O51" i="2" s="1"/>
  <c r="O50" i="2" a="1"/>
  <c r="O50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<sst xmlns="http://schemas.openxmlformats.org/spreadsheetml/2006/main" count="597" uniqueCount="247">
  <si>
    <t>Boolean</t>
  </si>
  <si>
    <t>SizeOverrideTable</t>
  </si>
  <si>
    <t>TableTypeTable</t>
  </si>
  <si>
    <t>Cell Name</t>
  </si>
  <si>
    <t>StyleName</t>
  </si>
  <si>
    <t>Class</t>
  </si>
  <si>
    <t>Type</t>
  </si>
  <si>
    <t>Where Used</t>
  </si>
  <si>
    <t>Fmt Notes</t>
  </si>
  <si>
    <t>Locked</t>
  </si>
  <si>
    <t>Font</t>
  </si>
  <si>
    <t>Fnt</t>
  </si>
  <si>
    <t>Base</t>
  </si>
  <si>
    <t>Pat</t>
  </si>
  <si>
    <t>BOv</t>
  </si>
  <si>
    <t>FOv</t>
  </si>
  <si>
    <t>POv</t>
  </si>
  <si>
    <t>BgClr</t>
  </si>
  <si>
    <t>TxClr</t>
  </si>
  <si>
    <t>PtClr</t>
  </si>
  <si>
    <t>Bool</t>
  </si>
  <si>
    <t>YN</t>
  </si>
  <si>
    <t>Cell Title</t>
  </si>
  <si>
    <t>Headers</t>
  </si>
  <si>
    <t>Cells</t>
  </si>
  <si>
    <t>Head</t>
  </si>
  <si>
    <t>Body</t>
  </si>
  <si>
    <t>Mono</t>
  </si>
  <si>
    <t>Cond</t>
  </si>
  <si>
    <t>HeadStyle</t>
  </si>
  <si>
    <t>CellStyle</t>
  </si>
  <si>
    <t>Calculated Key Header</t>
  </si>
  <si>
    <t>Calc</t>
  </si>
  <si>
    <t>HdKey</t>
  </si>
  <si>
    <t>Table Headers, Total Rows</t>
  </si>
  <si>
    <t>Txt Fmt</t>
  </si>
  <si>
    <t>Bahnschrift</t>
  </si>
  <si>
    <t>B1</t>
  </si>
  <si>
    <t>T2</t>
  </si>
  <si>
    <t>Yes</t>
  </si>
  <si>
    <t>OCR A Extended</t>
  </si>
  <si>
    <t>Bahnschrift Condensed</t>
  </si>
  <si>
    <t>Internal</t>
  </si>
  <si>
    <t>InternalTable</t>
  </si>
  <si>
    <t>IntHd</t>
  </si>
  <si>
    <t>IntCell</t>
  </si>
  <si>
    <t>Calculated Header</t>
  </si>
  <si>
    <t>Hd</t>
  </si>
  <si>
    <t>T1</t>
  </si>
  <si>
    <t>L35</t>
  </si>
  <si>
    <t>No</t>
  </si>
  <si>
    <t>Query</t>
  </si>
  <si>
    <t>QueryTable</t>
  </si>
  <si>
    <t>QueHd</t>
  </si>
  <si>
    <t>QueCell</t>
  </si>
  <si>
    <t>Calculated Key</t>
  </si>
  <si>
    <t>Key</t>
  </si>
  <si>
    <t>Tables, Output Cells</t>
  </si>
  <si>
    <t>B2</t>
  </si>
  <si>
    <t>D25</t>
  </si>
  <si>
    <t>Input</t>
  </si>
  <si>
    <t>InputTable</t>
  </si>
  <si>
    <t>InpHd</t>
  </si>
  <si>
    <t>InpCell</t>
  </si>
  <si>
    <t>Calculated D/V</t>
  </si>
  <si>
    <t>Val</t>
  </si>
  <si>
    <t>D15</t>
  </si>
  <si>
    <t>Lookup</t>
  </si>
  <si>
    <t>LookupTable</t>
  </si>
  <si>
    <t>LkpHd</t>
  </si>
  <si>
    <t>LkpCell</t>
  </si>
  <si>
    <t>Calculated Cell</t>
  </si>
  <si>
    <t>Cell</t>
  </si>
  <si>
    <t>D5</t>
  </si>
  <si>
    <t>Calculated</t>
  </si>
  <si>
    <t>CalculatedTable</t>
  </si>
  <si>
    <t>CalcHd</t>
  </si>
  <si>
    <t>CalcCell</t>
  </si>
  <si>
    <t>Deactivated Key Header</t>
  </si>
  <si>
    <t>Deac</t>
  </si>
  <si>
    <t>Pattern Set, Txt Fmt</t>
  </si>
  <si>
    <t>N</t>
  </si>
  <si>
    <t>Box</t>
  </si>
  <si>
    <t>BoxTable</t>
  </si>
  <si>
    <t>BoxHd</t>
  </si>
  <si>
    <t>BoxCell</t>
  </si>
  <si>
    <t>Deactivated Header</t>
  </si>
  <si>
    <t>L50</t>
  </si>
  <si>
    <t>Error</t>
  </si>
  <si>
    <t>ErrorTable</t>
  </si>
  <si>
    <t>ErrHd</t>
  </si>
  <si>
    <t>ErrCell</t>
  </si>
  <si>
    <t>Deactivated Cell</t>
  </si>
  <si>
    <t>Tables, Input Cells, Output Cells</t>
  </si>
  <si>
    <t>Active Disabled</t>
  </si>
  <si>
    <t>Act</t>
  </si>
  <si>
    <t>Pattern Set, Italics</t>
  </si>
  <si>
    <t>Box Title (16 pt Font)</t>
  </si>
  <si>
    <t>Title</t>
  </si>
  <si>
    <t>Top of Sheets, Tables, &amp; Objects</t>
  </si>
  <si>
    <t>Cent HV, 16 Pt, Txt Fmt</t>
  </si>
  <si>
    <t>A1</t>
  </si>
  <si>
    <t>D50</t>
  </si>
  <si>
    <t>Box Key Header</t>
  </si>
  <si>
    <t>Centered HV, Txt Fmt</t>
  </si>
  <si>
    <t>Box Header</t>
  </si>
  <si>
    <t>Box Key</t>
  </si>
  <si>
    <t>Sheet, Table, &amp; Object Options</t>
  </si>
  <si>
    <t>Centered HV</t>
  </si>
  <si>
    <t>IGNORE</t>
  </si>
  <si>
    <t>Box D/V</t>
  </si>
  <si>
    <t>L60</t>
  </si>
  <si>
    <t>Box Cell</t>
  </si>
  <si>
    <t>L80</t>
  </si>
  <si>
    <t>Active Note</t>
  </si>
  <si>
    <t>Notes and Instructions</t>
  </si>
  <si>
    <t>Cent HV, P Set, Ital, Txt Fmt</t>
  </si>
  <si>
    <t>Input Key Header</t>
  </si>
  <si>
    <t>Inp</t>
  </si>
  <si>
    <t>A2</t>
  </si>
  <si>
    <t>Input Header</t>
  </si>
  <si>
    <t>Input Key</t>
  </si>
  <si>
    <t>Tables, Input Cells</t>
  </si>
  <si>
    <t>Input Date</t>
  </si>
  <si>
    <t>Date</t>
  </si>
  <si>
    <t>Input Value</t>
  </si>
  <si>
    <t>Input Cell</t>
  </si>
  <si>
    <t>Active Missing</t>
  </si>
  <si>
    <t>Miss</t>
  </si>
  <si>
    <t>Error Key Header</t>
  </si>
  <si>
    <t>Err</t>
  </si>
  <si>
    <t>A3</t>
  </si>
  <si>
    <t>Error Header</t>
  </si>
  <si>
    <t>Table Headers</t>
  </si>
  <si>
    <t>Error Key</t>
  </si>
  <si>
    <t>Error D/V</t>
  </si>
  <si>
    <t>Error Cell</t>
  </si>
  <si>
    <t>Active Error</t>
  </si>
  <si>
    <t>Tables</t>
  </si>
  <si>
    <t>Lookup Key Header</t>
  </si>
  <si>
    <t>Lkp</t>
  </si>
  <si>
    <t>A4</t>
  </si>
  <si>
    <t>Lookup Header</t>
  </si>
  <si>
    <t>Lookup Key</t>
  </si>
  <si>
    <t>Tables, Reference Cells</t>
  </si>
  <si>
    <t>Lookup Date</t>
  </si>
  <si>
    <t>Lookup Value</t>
  </si>
  <si>
    <t>Lookup Cell</t>
  </si>
  <si>
    <t>Active Lookup Not Found</t>
  </si>
  <si>
    <t>Find</t>
  </si>
  <si>
    <t>Query Key Header</t>
  </si>
  <si>
    <t>Que</t>
  </si>
  <si>
    <t>A5</t>
  </si>
  <si>
    <t>Query Header</t>
  </si>
  <si>
    <t>Query Key</t>
  </si>
  <si>
    <t>Query D/V</t>
  </si>
  <si>
    <t>Query Cell</t>
  </si>
  <si>
    <t>Active Good</t>
  </si>
  <si>
    <t>Good</t>
  </si>
  <si>
    <t>L40</t>
  </si>
  <si>
    <t>Internal Key Header</t>
  </si>
  <si>
    <t>Int</t>
  </si>
  <si>
    <t>A6</t>
  </si>
  <si>
    <t>Internal Header</t>
  </si>
  <si>
    <t>Internal Key</t>
  </si>
  <si>
    <t>Internal D/V</t>
  </si>
  <si>
    <t>Internal Cell</t>
  </si>
  <si>
    <t>Internal Note</t>
  </si>
  <si>
    <t>Note</t>
  </si>
  <si>
    <t>Tables, Output Cells, Labels</t>
  </si>
  <si>
    <t>P Set, Ital, Txt Fmt</t>
  </si>
  <si>
    <t>Normal Cell</t>
  </si>
  <si>
    <t>Normal</t>
  </si>
  <si>
    <t>Blank Cells, Table controlled</t>
  </si>
  <si>
    <t>Normal Set</t>
  </si>
  <si>
    <t>Condensed Font</t>
  </si>
  <si>
    <t>x</t>
  </si>
  <si>
    <t>Any Required Cell</t>
  </si>
  <si>
    <t>Font Set</t>
  </si>
  <si>
    <t>Monospace Font</t>
  </si>
  <si>
    <t>Other Cell Styles</t>
  </si>
  <si>
    <t>xCond</t>
  </si>
  <si>
    <t>xMono</t>
  </si>
  <si>
    <t>HyperLink</t>
  </si>
  <si>
    <t>Standard Text</t>
  </si>
  <si>
    <t>Tight Text</t>
  </si>
  <si>
    <t>Monospaced Text</t>
  </si>
  <si>
    <t>#0563C1 B,UL Bahnschrift 11pt</t>
  </si>
  <si>
    <t>Bahnschrift 11pt</t>
  </si>
  <si>
    <t>Bahnschrift Condensed 11pt</t>
  </si>
  <si>
    <t>OCR A Extended 11pt</t>
  </si>
  <si>
    <t>Followed Hyperlink</t>
  </si>
  <si>
    <t>Sets Font Only</t>
  </si>
  <si>
    <t>#954F72 B,UL Bahnschrift 11pt</t>
  </si>
  <si>
    <t>FontTable</t>
  </si>
  <si>
    <t>KeyTable</t>
  </si>
  <si>
    <t>Date Format, Font Set</t>
  </si>
  <si>
    <t>Centered HV, Font Set</t>
  </si>
  <si>
    <t>Commands</t>
  </si>
  <si>
    <t>Column10</t>
  </si>
  <si>
    <t>Column11</t>
  </si>
  <si>
    <t>Column12</t>
  </si>
  <si>
    <t>Column13</t>
  </si>
  <si>
    <t>Column14</t>
  </si>
  <si>
    <t>Command</t>
  </si>
  <si>
    <t>IsEscaped</t>
  </si>
  <si>
    <t>IsShifted</t>
  </si>
  <si>
    <t>ReqMode</t>
  </si>
  <si>
    <t>EscHelper</t>
  </si>
  <si>
    <t>ShiftHelper</t>
  </si>
  <si>
    <t>Letter</t>
  </si>
  <si>
    <t>R</t>
  </si>
  <si>
    <t>P</t>
  </si>
  <si>
    <t>Any</t>
  </si>
  <si>
    <t>Mode</t>
  </si>
  <si>
    <t>Line</t>
  </si>
  <si>
    <t>H</t>
  </si>
  <si>
    <t>Fields</t>
  </si>
  <si>
    <t>FieldFmt</t>
  </si>
  <si>
    <t>Fmt</t>
  </si>
  <si>
    <t>o</t>
  </si>
  <si>
    <t>Prop</t>
  </si>
  <si>
    <t>FieldsMin</t>
  </si>
  <si>
    <t>FieldsMax</t>
  </si>
  <si>
    <t>L</t>
  </si>
  <si>
    <t>B</t>
  </si>
  <si>
    <t>I</t>
  </si>
  <si>
    <t>U</t>
  </si>
  <si>
    <t>w</t>
  </si>
  <si>
    <t>h</t>
  </si>
  <si>
    <t>f</t>
  </si>
  <si>
    <t>c</t>
  </si>
  <si>
    <t>d</t>
  </si>
  <si>
    <t>ForceField1</t>
  </si>
  <si>
    <t>d3</t>
  </si>
  <si>
    <t>E</t>
  </si>
  <si>
    <t>d0</t>
  </si>
  <si>
    <t>%L</t>
  </si>
  <si>
    <t>%F</t>
  </si>
  <si>
    <t>%V</t>
  </si>
  <si>
    <t>Numeric Value</t>
  </si>
  <si>
    <t>%L%V,%V</t>
  </si>
  <si>
    <t>let</t>
  </si>
  <si>
    <t>%L%V</t>
  </si>
  <si>
    <t>Column112</t>
  </si>
  <si>
    <t>%E</t>
  </si>
  <si>
    <t>Escape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</si>
</sst>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6" formatCode="&quot;$&quot;#,##0_);[Red]\(&quot;$&quot;#,##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/dd/yy"/>
  </numFmts>
  <fonts count="48" x14ac:knownFonts="1">
    <font>
      <sz val="11"/>
      <color theme="1"/>
      <name val="Bahnschrift"/>
      <family val="2"/>
      <scheme val="minor"/>
    </font>
    <font>
      <sz val="12"/>
      <color rgb="FF000000"/>
      <name val="Bahnschrift"/>
      <family val="2"/>
    </font>
    <font>
      <sz val="16"/>
      <color rgb="FFD8DFFE"/>
      <name val="Bahnschrift"/>
      <family val="2"/>
      <scheme val="major"/>
    </font>
    <font>
      <i/>
      <sz val="11"/>
      <color rgb="FF58267D"/>
      <name val="Bahnschrift"/>
      <family val="2"/>
      <scheme val="major"/>
    </font>
    <font>
      <sz val="11"/>
      <color rgb="FFEEE1F7"/>
      <name val="Bahnschrift"/>
      <family val="2"/>
      <scheme val="major"/>
    </font>
    <font>
      <sz val="11"/>
      <color rgb="FFE6E6E6"/>
      <name val="Bahnschrift"/>
      <family val="2"/>
      <scheme val="major"/>
    </font>
    <font>
      <sz val="11"/>
      <name val="Bahnschrift"/>
      <family val="2"/>
      <scheme val="minor"/>
    </font>
    <font>
      <sz val="11"/>
      <color theme="1"/>
      <name val="Bahnschrift Condensed"/>
      <family val="2"/>
    </font>
    <font>
      <sz val="11"/>
      <color rgb="FF3F3F3F"/>
      <name val="Bahnschrift"/>
      <family val="2"/>
      <scheme val="major"/>
    </font>
    <font>
      <sz val="11"/>
      <color rgb="FF606060"/>
      <name val="Bahnschrift"/>
      <family val="2"/>
      <scheme val="major"/>
    </font>
    <font>
      <sz val="11"/>
      <color rgb="FF808080"/>
      <name val="Bahnschrift"/>
      <family val="2"/>
      <scheme val="major"/>
    </font>
    <font>
      <i/>
      <sz val="11"/>
      <color rgb="FF404040"/>
      <name val="Bahnschrift"/>
      <family val="2"/>
      <scheme val="major"/>
    </font>
    <font>
      <sz val="11"/>
      <color theme="4" tint="0.79992065187536243"/>
      <name val="Bahnschrift"/>
      <family val="2"/>
      <scheme val="major"/>
    </font>
    <font>
      <sz val="11"/>
      <color rgb="FFD8DFFE"/>
      <name val="Bahnschrift"/>
      <family val="2"/>
      <scheme val="major"/>
    </font>
    <font>
      <sz val="11"/>
      <color rgb="FF052398"/>
      <name val="Bahnschrift"/>
      <family val="2"/>
      <scheme val="major"/>
    </font>
    <font>
      <i/>
      <sz val="11"/>
      <color rgb="FF052398"/>
      <name val="Bahnschrift"/>
      <family val="2"/>
      <scheme val="major"/>
    </font>
    <font>
      <sz val="11"/>
      <color rgb="FFFFFFCC"/>
      <name val="Bahnschrift"/>
      <family val="2"/>
      <scheme val="major"/>
    </font>
    <font>
      <sz val="11"/>
      <color rgb="FF000000"/>
      <name val="Bahnschrift"/>
      <family val="2"/>
      <scheme val="major"/>
    </font>
    <font>
      <sz val="11"/>
      <color rgb="FF000000"/>
      <name val="OCR A Extended"/>
      <family val="3"/>
    </font>
    <font>
      <i/>
      <sz val="11"/>
      <color rgb="FF808000"/>
      <name val="Bahnschrift"/>
      <family val="2"/>
      <scheme val="major"/>
    </font>
    <font>
      <sz val="11"/>
      <color rgb="FFFFCACA"/>
      <name val="Bahnschrift"/>
      <family val="2"/>
      <scheme val="major"/>
    </font>
    <font>
      <i/>
      <sz val="11"/>
      <color rgb="FF7D0000"/>
      <name val="Bahnschrift"/>
      <family val="2"/>
      <scheme val="major"/>
    </font>
    <font>
      <sz val="11"/>
      <color rgb="FFCFFCFB"/>
      <name val="Bahnschrift"/>
      <family val="2"/>
      <scheme val="major"/>
    </font>
    <font>
      <i/>
      <sz val="11"/>
      <color rgb="FF077A77"/>
      <name val="Bahnschrift"/>
      <family val="2"/>
      <scheme val="major"/>
    </font>
    <font>
      <sz val="11"/>
      <color rgb="FFC5FEC8"/>
      <name val="Bahnschrift"/>
      <family val="2"/>
      <scheme val="major"/>
    </font>
    <font>
      <i/>
      <sz val="11"/>
      <color rgb="FF016B06"/>
      <name val="Bahnschrift"/>
      <family val="2"/>
      <scheme val="major"/>
    </font>
    <font>
      <sz val="11"/>
      <color theme="1"/>
      <name val="Bahnschrift"/>
      <family val="2"/>
      <scheme val="minor"/>
    </font>
    <font>
      <sz val="18"/>
      <color theme="3"/>
      <name val="Bahnschrift"/>
      <family val="2"/>
      <scheme val="major"/>
    </font>
    <font>
      <b/>
      <sz val="15"/>
      <color theme="3"/>
      <name val="Bahnschrift"/>
      <family val="2"/>
      <scheme val="minor"/>
    </font>
    <font>
      <b/>
      <sz val="13"/>
      <color theme="3"/>
      <name val="Bahnschrift"/>
      <family val="2"/>
      <scheme val="minor"/>
    </font>
    <font>
      <b/>
      <sz val="11"/>
      <color theme="3"/>
      <name val="Bahnschrift"/>
      <family val="2"/>
      <scheme val="minor"/>
    </font>
    <font>
      <sz val="11"/>
      <color rgb="FF006100"/>
      <name val="Bahnschrift"/>
      <family val="2"/>
      <scheme val="minor"/>
    </font>
    <font>
      <sz val="11"/>
      <color rgb="FF9C0006"/>
      <name val="Bahnschrift"/>
      <family val="2"/>
      <scheme val="minor"/>
    </font>
    <font>
      <sz val="11"/>
      <color rgb="FF9C5700"/>
      <name val="Bahnschrift"/>
      <family val="2"/>
      <scheme val="minor"/>
    </font>
    <font>
      <sz val="11"/>
      <color rgb="FF3F3F76"/>
      <name val="Bahnschrift"/>
      <family val="2"/>
      <scheme val="minor"/>
    </font>
    <font>
      <b/>
      <sz val="11"/>
      <color rgb="FF3F3F3F"/>
      <name val="Bahnschrift"/>
      <family val="2"/>
      <scheme val="minor"/>
    </font>
    <font>
      <b/>
      <sz val="11"/>
      <color rgb="FFFA7D00"/>
      <name val="Bahnschrift"/>
      <family val="2"/>
      <scheme val="minor"/>
    </font>
    <font>
      <sz val="11"/>
      <color rgb="FFFA7D00"/>
      <name val="Bahnschrift"/>
      <family val="2"/>
      <scheme val="minor"/>
    </font>
    <font>
      <b/>
      <sz val="11"/>
      <color theme="0"/>
      <name val="Bahnschrift"/>
      <family val="2"/>
      <scheme val="minor"/>
    </font>
    <font>
      <sz val="11"/>
      <color rgb="FFFF0000"/>
      <name val="Bahnschrift"/>
      <family val="2"/>
      <scheme val="minor"/>
    </font>
    <font>
      <i/>
      <sz val="11"/>
      <color rgb="FF7F7F7F"/>
      <name val="Bahnschrift"/>
      <family val="2"/>
      <scheme val="minor"/>
    </font>
    <font>
      <b/>
      <sz val="11"/>
      <color theme="1"/>
      <name val="Bahnschrift"/>
      <family val="2"/>
      <scheme val="minor"/>
    </font>
    <font>
      <sz val="11"/>
      <color theme="0"/>
      <name val="Bahnschrift"/>
      <family val="2"/>
      <scheme val="minor"/>
    </font>
    <font>
      <sz val="10"/>
      <color theme="1"/>
      <name val="Cascadia Code"/>
      <family val="3"/>
    </font>
    <font>
      <sz val="10"/>
      <color rgb="FF000000"/>
      <name val="Cascadia Code"/>
      <family val="3"/>
    </font>
    <font>
      <sz val="10"/>
      <color rgb="FF3F3F3F"/>
      <name val="Cascadia Code"/>
      <family val="3"/>
    </font>
    <font>
      <sz val="10"/>
      <color rgb="FF052398"/>
      <name val="Cascadia Code"/>
      <family val="3"/>
    </font>
    <font>
      <sz val="8"/>
      <name val="Bahnschrift"/>
      <family val="2"/>
      <scheme val="minor"/>
    </font>
  </fonts>
  <fills count="86">
    <fill>
      <patternFill patternType="none"/>
    </fill>
    <fill>
      <patternFill patternType="gray125"/>
    </fill>
    <fill>
      <patternFill patternType="solid">
        <fgColor rgb="FF052398"/>
        <bgColor indexed="64"/>
      </patternFill>
    </fill>
    <fill>
      <patternFill patternType="darkDown">
        <fgColor rgb="FFEEE1F7"/>
        <bgColor rgb="FFDDC6EE"/>
      </patternFill>
    </fill>
    <fill>
      <patternFill patternType="solid">
        <fgColor rgb="FF8438BC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686DA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2F2F2"/>
        <bgColor indexed="64"/>
      </patternFill>
    </fill>
    <fill>
      <patternFill patternType="darkDown">
        <fgColor rgb="FF3F3F3F"/>
        <bgColor rgb="FF1F1F1F"/>
      </patternFill>
    </fill>
    <fill>
      <patternFill patternType="darkDown">
        <fgColor theme="0"/>
        <bgColor rgb="FF7F7F7F"/>
      </patternFill>
    </fill>
    <fill>
      <patternFill patternType="darkDown">
        <fgColor rgb="FF595959"/>
        <bgColor rgb="FF7F7F7F"/>
      </patternFill>
    </fill>
    <fill>
      <patternFill patternType="solid">
        <fgColor rgb="FF0734E4"/>
        <bgColor indexed="64"/>
      </patternFill>
    </fill>
    <fill>
      <patternFill patternType="solid">
        <fgColor rgb="FF8CA3FB"/>
        <bgColor indexed="64"/>
      </patternFill>
    </fill>
    <fill>
      <patternFill patternType="solid">
        <fgColor rgb="FFB3C1FD"/>
        <bgColor indexed="64"/>
      </patternFill>
    </fill>
    <fill>
      <patternFill patternType="solid">
        <fgColor rgb="FFD8DFFE"/>
        <bgColor indexed="64"/>
      </patternFill>
    </fill>
    <fill>
      <patternFill patternType="darkDown">
        <fgColor rgb="FFD8DFFE"/>
        <bgColor rgb="FFB3C1FD"/>
      </patternFill>
    </fill>
    <fill>
      <patternFill patternType="solid">
        <fgColor rgb="FF808000"/>
        <bgColor indexed="64"/>
      </patternFill>
    </fill>
    <fill>
      <patternFill patternType="solid">
        <fgColor rgb="FFBFBF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CC"/>
        <bgColor indexed="64"/>
      </patternFill>
    </fill>
    <fill>
      <patternFill patternType="darkDown">
        <fgColor rgb="FFFFFFCC"/>
        <bgColor rgb="FFFFFF00"/>
      </patternFill>
    </fill>
    <fill>
      <patternFill patternType="darkDown">
        <fgColor rgb="FF000000"/>
        <bgColor rgb="FF7D0000"/>
      </patternFill>
    </fill>
    <fill>
      <patternFill patternType="solid">
        <fgColor rgb="FFBB0000"/>
        <bgColor indexed="64"/>
      </patternFill>
    </fill>
    <fill>
      <patternFill patternType="solid">
        <fgColor rgb="FFFF6262"/>
        <bgColor indexed="64"/>
      </patternFill>
    </fill>
    <fill>
      <patternFill patternType="solid">
        <fgColor rgb="FFFF9797"/>
        <bgColor indexed="64"/>
      </patternFill>
    </fill>
    <fill>
      <patternFill patternType="solid">
        <fgColor rgb="FFFFCACA"/>
        <bgColor indexed="64"/>
      </patternFill>
    </fill>
    <fill>
      <patternFill patternType="darkDown">
        <fgColor rgb="FFFFCACA"/>
        <bgColor rgb="FFFF9797"/>
      </patternFill>
    </fill>
    <fill>
      <patternFill patternType="solid">
        <fgColor rgb="FF077A77"/>
        <bgColor indexed="64"/>
      </patternFill>
    </fill>
    <fill>
      <patternFill patternType="solid">
        <fgColor rgb="FF0CB6B1"/>
        <bgColor indexed="64"/>
      </patternFill>
    </fill>
    <fill>
      <patternFill patternType="solid">
        <fgColor rgb="FF72F5F2"/>
        <bgColor indexed="64"/>
      </patternFill>
    </fill>
    <fill>
      <patternFill patternType="solid">
        <fgColor rgb="FF9FF9F7"/>
        <bgColor indexed="64"/>
      </patternFill>
    </fill>
    <fill>
      <patternFill patternType="solid">
        <fgColor rgb="FFCFFCFB"/>
        <bgColor indexed="64"/>
      </patternFill>
    </fill>
    <fill>
      <patternFill patternType="darkDown">
        <fgColor rgb="FFCFFCFB"/>
        <bgColor rgb="FF14F0EB"/>
      </patternFill>
    </fill>
    <fill>
      <patternFill patternType="solid">
        <fgColor rgb="FF016B06"/>
        <bgColor indexed="64"/>
      </patternFill>
    </fill>
    <fill>
      <patternFill patternType="solid">
        <fgColor rgb="FF02A20B"/>
        <bgColor indexed="64"/>
      </patternFill>
    </fill>
    <fill>
      <patternFill patternType="solid">
        <fgColor rgb="FF51FD59"/>
        <bgColor indexed="64"/>
      </patternFill>
    </fill>
    <fill>
      <patternFill patternType="solid">
        <fgColor rgb="FF8CFD92"/>
        <bgColor indexed="64"/>
      </patternFill>
    </fill>
    <fill>
      <patternFill patternType="solid">
        <fgColor rgb="FFC5FEC8"/>
        <bgColor indexed="64"/>
      </patternFill>
    </fill>
    <fill>
      <patternFill patternType="darkDown">
        <fgColor rgb="FFC5FEC8"/>
        <bgColor rgb="FF51FD59"/>
      </patternFill>
    </fill>
    <fill>
      <patternFill patternType="solid">
        <fgColor rgb="FF58267D"/>
        <bgColor indexed="64"/>
      </patternFill>
    </fill>
    <fill>
      <patternFill patternType="solid">
        <fgColor rgb="FFCCAAE6"/>
        <bgColor indexed="64"/>
      </patternFill>
    </fill>
    <fill>
      <patternFill patternType="solid">
        <fgColor rgb="FFDDC6EE"/>
        <bgColor indexed="64"/>
      </patternFill>
    </fill>
    <fill>
      <patternFill patternType="solid">
        <fgColor rgb="FFEEE1F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96">
    <xf numFmtId="0" fontId="0" fillId="0" borderId="0"/>
    <xf numFmtId="49" fontId="2" fillId="2" borderId="1">
      <alignment horizontal="center" vertical="center"/>
    </xf>
    <xf numFmtId="49" fontId="3" fillId="3" borderId="1" applyAlignment="0">
      <protection locked="0"/>
    </xf>
    <xf numFmtId="49" fontId="4" fillId="4" borderId="1" applyAlignment="0"/>
    <xf numFmtId="49" fontId="5" fillId="5" borderId="1" applyAlignment="0"/>
    <xf numFmtId="49" fontId="5" fillId="6" borderId="1" applyAlignment="0"/>
    <xf numFmtId="0" fontId="45" fillId="7" borderId="1" applyNumberFormat="0" applyAlignment="0"/>
    <xf numFmtId="0" fontId="43" fillId="8" borderId="1" applyNumberFormat="0" applyFill="0" applyBorder="0" applyAlignment="0" applyProtection="0"/>
    <xf numFmtId="0" fontId="8" fillId="9" borderId="1" applyNumberFormat="0" applyAlignment="0"/>
    <xf numFmtId="0" fontId="8" fillId="10" borderId="1" applyNumberFormat="0" applyAlignment="0"/>
    <xf numFmtId="49" fontId="9" fillId="11" borderId="1" applyAlignment="0"/>
    <xf numFmtId="49" fontId="10" fillId="5" borderId="1" applyAlignment="0"/>
    <xf numFmtId="0" fontId="9" fillId="12" borderId="1" applyNumberFormat="0" applyAlignment="0"/>
    <xf numFmtId="0" fontId="11" fillId="13" borderId="1" applyNumberFormat="0" applyAlignment="0"/>
    <xf numFmtId="49" fontId="13" fillId="2" borderId="1">
      <alignment horizontal="center" vertical="center"/>
    </xf>
    <xf numFmtId="49" fontId="13" fillId="14" borderId="1">
      <alignment horizontal="center" vertical="center"/>
    </xf>
    <xf numFmtId="0" fontId="14" fillId="15" borderId="1" applyNumberFormat="0" applyProtection="0">
      <alignment horizontal="center" vertical="center"/>
      <protection locked="0"/>
    </xf>
    <xf numFmtId="0" fontId="46" fillId="16" borderId="1" applyNumberFormat="0" applyProtection="0">
      <alignment horizontal="center" vertical="center"/>
      <protection locked="0"/>
    </xf>
    <xf numFmtId="0" fontId="14" fillId="17" borderId="1" applyNumberFormat="0" applyProtection="0">
      <alignment horizontal="center" vertical="center"/>
      <protection locked="0"/>
    </xf>
    <xf numFmtId="49" fontId="15" fillId="18" borderId="1" applyProtection="0">
      <alignment horizontal="center" vertical="center"/>
      <protection locked="0"/>
    </xf>
    <xf numFmtId="49" fontId="16" fillId="19" borderId="1" applyAlignment="0"/>
    <xf numFmtId="49" fontId="16" fillId="20" borderId="1" applyAlignment="0"/>
    <xf numFmtId="0" fontId="17" fillId="21" borderId="1" applyNumberFormat="0" applyAlignment="0">
      <protection locked="0"/>
    </xf>
    <xf numFmtId="164" fontId="18" fillId="22" borderId="1" applyAlignment="0">
      <protection locked="0"/>
    </xf>
    <xf numFmtId="0" fontId="18" fillId="22" borderId="1" applyNumberFormat="0" applyAlignment="0">
      <alignment horizontal="left"/>
      <protection locked="0"/>
    </xf>
    <xf numFmtId="0" fontId="17" fillId="23" borderId="1" applyNumberFormat="0" applyAlignment="0">
      <protection locked="0"/>
    </xf>
    <xf numFmtId="0" fontId="19" fillId="24" borderId="1" applyNumberFormat="0" applyAlignment="0">
      <protection locked="0"/>
    </xf>
    <xf numFmtId="49" fontId="20" fillId="25" borderId="1" applyAlignment="0"/>
    <xf numFmtId="49" fontId="20" fillId="26" borderId="1" applyAlignment="0"/>
    <xf numFmtId="0" fontId="17" fillId="27" borderId="1" applyNumberFormat="0" applyAlignment="0" applyProtection="0">
      <protection locked="0"/>
    </xf>
    <xf numFmtId="0" fontId="18" fillId="28" borderId="1" applyNumberFormat="0" applyAlignment="0" applyProtection="0">
      <protection locked="0"/>
    </xf>
    <xf numFmtId="0" fontId="17" fillId="29" borderId="1" applyNumberFormat="0" applyAlignment="0" applyProtection="0">
      <protection locked="0"/>
    </xf>
    <xf numFmtId="0" fontId="21" fillId="30" borderId="1" applyNumberFormat="0" applyAlignment="0" applyProtection="0">
      <protection locked="0"/>
    </xf>
    <xf numFmtId="49" fontId="22" fillId="31" borderId="1" applyAlignment="0"/>
    <xf numFmtId="49" fontId="22" fillId="32" borderId="1" applyAlignment="0"/>
    <xf numFmtId="0" fontId="17" fillId="33" borderId="1" applyNumberFormat="0" applyAlignment="0"/>
    <xf numFmtId="164" fontId="44" fillId="34" borderId="1" applyAlignment="0">
      <alignment horizontal="left"/>
    </xf>
    <xf numFmtId="0" fontId="44" fillId="34" borderId="1" applyNumberFormat="0" applyAlignment="0">
      <alignment horizontal="left"/>
    </xf>
    <xf numFmtId="0" fontId="17" fillId="35" borderId="1" applyNumberFormat="0" applyAlignment="0"/>
    <xf numFmtId="0" fontId="23" fillId="36" borderId="1" applyNumberFormat="0" applyAlignment="0"/>
    <xf numFmtId="49" fontId="24" fillId="37" borderId="1" applyAlignment="0"/>
    <xf numFmtId="49" fontId="24" fillId="38" borderId="1" applyAlignment="0"/>
    <xf numFmtId="0" fontId="17" fillId="39" borderId="1" applyNumberFormat="0" applyAlignment="0"/>
    <xf numFmtId="0" fontId="44" fillId="40" borderId="1" applyNumberFormat="0" applyAlignment="0"/>
    <xf numFmtId="0" fontId="17" fillId="41" borderId="1" applyNumberFormat="0" applyAlignment="0"/>
    <xf numFmtId="0" fontId="25" fillId="42" borderId="1" applyNumberFormat="0" applyAlignment="0"/>
    <xf numFmtId="49" fontId="4" fillId="43" borderId="1" applyAlignment="0"/>
    <xf numFmtId="0" fontId="17" fillId="44" borderId="1" applyNumberFormat="0" applyAlignment="0">
      <protection locked="0"/>
    </xf>
    <xf numFmtId="0" fontId="44" fillId="45" borderId="1" applyNumberFormat="0" applyAlignment="0">
      <protection locked="0"/>
    </xf>
    <xf numFmtId="0" fontId="17" fillId="46" borderId="1" applyNumberFormat="0" applyAlignment="0">
      <protection locked="0"/>
    </xf>
    <xf numFmtId="0" fontId="7" fillId="0" borderId="0" applyNumberFormat="0" applyFill="0" applyBorder="0" applyAlignment="0" applyProtection="0"/>
    <xf numFmtId="43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4" fontId="26" fillId="0" borderId="0" applyFont="0" applyFill="0" applyBorder="0" applyAlignment="0" applyProtection="0"/>
    <xf numFmtId="42" fontId="26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27" applyNumberFormat="0" applyFill="0" applyAlignment="0" applyProtection="0"/>
    <xf numFmtId="0" fontId="29" fillId="0" borderId="28" applyNumberFormat="0" applyFill="0" applyAlignment="0" applyProtection="0"/>
    <xf numFmtId="0" fontId="30" fillId="0" borderId="29" applyNumberFormat="0" applyFill="0" applyAlignment="0" applyProtection="0"/>
    <xf numFmtId="0" fontId="30" fillId="0" borderId="0" applyNumberFormat="0" applyFill="0" applyBorder="0" applyAlignment="0" applyProtection="0"/>
    <xf numFmtId="0" fontId="31" fillId="55" borderId="0" applyNumberFormat="0" applyBorder="0" applyAlignment="0" applyProtection="0"/>
    <xf numFmtId="0" fontId="32" fillId="56" borderId="0" applyNumberFormat="0" applyBorder="0" applyAlignment="0" applyProtection="0"/>
    <xf numFmtId="0" fontId="33" fillId="57" borderId="0" applyNumberFormat="0" applyBorder="0" applyAlignment="0" applyProtection="0"/>
    <xf numFmtId="0" fontId="34" fillId="58" borderId="30" applyNumberFormat="0" applyAlignment="0" applyProtection="0"/>
    <xf numFmtId="0" fontId="35" fillId="59" borderId="31" applyNumberFormat="0" applyAlignment="0" applyProtection="0"/>
    <xf numFmtId="0" fontId="36" fillId="59" borderId="30" applyNumberFormat="0" applyAlignment="0" applyProtection="0"/>
    <xf numFmtId="0" fontId="37" fillId="0" borderId="32" applyNumberFormat="0" applyFill="0" applyAlignment="0" applyProtection="0"/>
    <xf numFmtId="0" fontId="38" fillId="60" borderId="33" applyNumberFormat="0" applyAlignment="0" applyProtection="0"/>
    <xf numFmtId="0" fontId="39" fillId="0" borderId="0" applyNumberFormat="0" applyFill="0" applyBorder="0" applyAlignment="0" applyProtection="0"/>
    <xf numFmtId="0" fontId="26" fillId="61" borderId="34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35" applyNumberFormat="0" applyFill="0" applyAlignment="0" applyProtection="0"/>
    <xf numFmtId="0" fontId="42" fillId="62" borderId="0" applyNumberFormat="0" applyBorder="0" applyAlignment="0" applyProtection="0"/>
    <xf numFmtId="0" fontId="26" fillId="63" borderId="0" applyNumberFormat="0" applyBorder="0" applyAlignment="0" applyProtection="0"/>
    <xf numFmtId="0" fontId="26" fillId="64" borderId="0" applyNumberFormat="0" applyBorder="0" applyAlignment="0" applyProtection="0"/>
    <xf numFmtId="0" fontId="26" fillId="65" borderId="0" applyNumberFormat="0" applyBorder="0" applyAlignment="0" applyProtection="0"/>
    <xf numFmtId="0" fontId="42" fillId="66" borderId="0" applyNumberFormat="0" applyBorder="0" applyAlignment="0" applyProtection="0"/>
    <xf numFmtId="0" fontId="26" fillId="67" borderId="0" applyNumberFormat="0" applyBorder="0" applyAlignment="0" applyProtection="0"/>
    <xf numFmtId="0" fontId="26" fillId="68" borderId="0" applyNumberFormat="0" applyBorder="0" applyAlignment="0" applyProtection="0"/>
    <xf numFmtId="0" fontId="26" fillId="69" borderId="0" applyNumberFormat="0" applyBorder="0" applyAlignment="0" applyProtection="0"/>
    <xf numFmtId="0" fontId="42" fillId="70" borderId="0" applyNumberFormat="0" applyBorder="0" applyAlignment="0" applyProtection="0"/>
    <xf numFmtId="0" fontId="26" fillId="71" borderId="0" applyNumberFormat="0" applyBorder="0" applyAlignment="0" applyProtection="0"/>
    <xf numFmtId="0" fontId="26" fillId="72" borderId="0" applyNumberFormat="0" applyBorder="0" applyAlignment="0" applyProtection="0"/>
    <xf numFmtId="0" fontId="26" fillId="73" borderId="0" applyNumberFormat="0" applyBorder="0" applyAlignment="0" applyProtection="0"/>
    <xf numFmtId="0" fontId="42" fillId="74" borderId="0" applyNumberFormat="0" applyBorder="0" applyAlignment="0" applyProtection="0"/>
    <xf numFmtId="0" fontId="26" fillId="75" borderId="0" applyNumberFormat="0" applyBorder="0" applyAlignment="0" applyProtection="0"/>
    <xf numFmtId="0" fontId="26" fillId="76" borderId="0" applyNumberFormat="0" applyBorder="0" applyAlignment="0" applyProtection="0"/>
    <xf numFmtId="0" fontId="26" fillId="77" borderId="0" applyNumberFormat="0" applyBorder="0" applyAlignment="0" applyProtection="0"/>
    <xf numFmtId="0" fontId="42" fillId="78" borderId="0" applyNumberFormat="0" applyBorder="0" applyAlignment="0" applyProtection="0"/>
    <xf numFmtId="0" fontId="26" fillId="79" borderId="0" applyNumberFormat="0" applyBorder="0" applyAlignment="0" applyProtection="0"/>
    <xf numFmtId="0" fontId="26" fillId="80" borderId="0" applyNumberFormat="0" applyBorder="0" applyAlignment="0" applyProtection="0"/>
    <xf numFmtId="0" fontId="26" fillId="81" borderId="0" applyNumberFormat="0" applyBorder="0" applyAlignment="0" applyProtection="0"/>
    <xf numFmtId="0" fontId="42" fillId="82" borderId="0" applyNumberFormat="0" applyBorder="0" applyAlignment="0" applyProtection="0"/>
    <xf numFmtId="0" fontId="26" fillId="83" borderId="0" applyNumberFormat="0" applyBorder="0" applyAlignment="0" applyProtection="0"/>
    <xf numFmtId="0" fontId="26" fillId="84" borderId="0" applyNumberFormat="0" applyBorder="0" applyAlignment="0" applyProtection="0"/>
    <xf numFmtId="0" fontId="26" fillId="85" borderId="0" applyNumberFormat="0" applyBorder="0" applyAlignment="0" applyProtection="0"/>
  </cellStyleXfs>
  <cellXfs count="193">
    <xf numFmtId="0" fontId="0" fillId="0" borderId="0" xfId="0"/>
    <xf numFmtId="0" fontId="0" fillId="0" borderId="0" xfId="0"/>
    <xf numFmtId="49" fontId="4" fillId="4" borderId="1" xfId="3"/>
    <xf numFmtId="0" fontId="0" fillId="0" borderId="0" xfId="0" applyAlignment="1">
      <alignment horizontal="center"/>
    </xf>
    <xf numFmtId="49" fontId="5" fillId="6" borderId="1" xfId="5"/>
    <xf numFmtId="0" fontId="45" fillId="7" borderId="4" xfId="6" applyBorder="1" applyAlignment="1">
      <alignment horizontal="left"/>
    </xf>
    <xf numFmtId="0" fontId="45" fillId="7" borderId="1" xfId="6" applyAlignment="1">
      <alignment horizontal="left"/>
    </xf>
    <xf numFmtId="0" fontId="45" fillId="7" borderId="1" xfId="6" applyAlignment="1">
      <alignment horizontal="center"/>
    </xf>
    <xf numFmtId="0" fontId="6" fillId="0" borderId="0" xfId="0" applyFont="1"/>
    <xf numFmtId="0" fontId="43" fillId="0" borderId="0" xfId="7" applyFill="1" applyBorder="1"/>
    <xf numFmtId="0" fontId="7" fillId="0" borderId="0" xfId="0" applyFont="1" applyBorder="1"/>
    <xf numFmtId="49" fontId="5" fillId="5" borderId="1" xfId="4"/>
    <xf numFmtId="0" fontId="45" fillId="7" borderId="1" xfId="6"/>
    <xf numFmtId="0" fontId="8" fillId="9" borderId="1" xfId="8"/>
    <xf numFmtId="0" fontId="8" fillId="10" borderId="1" xfId="9" applyNumberFormat="1"/>
    <xf numFmtId="0" fontId="0" fillId="0" borderId="9" xfId="0" applyBorder="1"/>
    <xf numFmtId="0" fontId="0" fillId="0" borderId="9" xfId="0" applyBorder="1" applyAlignment="1">
      <alignment horizontal="center"/>
    </xf>
    <xf numFmtId="0" fontId="45" fillId="7" borderId="12" xfId="6" applyBorder="1" applyAlignment="1">
      <alignment horizontal="left"/>
    </xf>
    <xf numFmtId="0" fontId="45" fillId="7" borderId="13" xfId="6" applyBorder="1" applyAlignment="1">
      <alignment horizontal="left"/>
    </xf>
    <xf numFmtId="0" fontId="45" fillId="7" borderId="13" xfId="6" applyBorder="1"/>
    <xf numFmtId="49" fontId="9" fillId="11" borderId="1" xfId="10"/>
    <xf numFmtId="0" fontId="45" fillId="7" borderId="17" xfId="6" applyBorder="1" applyAlignment="1">
      <alignment horizontal="left"/>
    </xf>
    <xf numFmtId="0" fontId="45" fillId="7" borderId="18" xfId="6" applyBorder="1" applyAlignment="1">
      <alignment horizontal="left"/>
    </xf>
    <xf numFmtId="0" fontId="45" fillId="7" borderId="18" xfId="6" applyBorder="1"/>
    <xf numFmtId="49" fontId="10" fillId="5" borderId="1" xfId="11"/>
    <xf numFmtId="0" fontId="9" fillId="12" borderId="1" xfId="12"/>
    <xf numFmtId="0" fontId="11" fillId="13" borderId="1" xfId="13"/>
    <xf numFmtId="49" fontId="12" fillId="2" borderId="1" xfId="1" applyFont="1" applyAlignment="1">
      <alignment horizontal="left"/>
    </xf>
    <xf numFmtId="0" fontId="0" fillId="0" borderId="0" xfId="0" applyBorder="1"/>
    <xf numFmtId="0" fontId="0" fillId="0" borderId="0" xfId="0" applyBorder="1" applyAlignment="1">
      <alignment horizontal="center"/>
    </xf>
    <xf numFmtId="49" fontId="13" fillId="2" borderId="1" xfId="14" applyAlignment="1">
      <alignment vertical="center"/>
    </xf>
    <xf numFmtId="0" fontId="13" fillId="14" borderId="1" xfId="15" applyNumberFormat="1" applyAlignment="1">
      <alignment horizontal="left" vertical="center"/>
    </xf>
    <xf numFmtId="0" fontId="14" fillId="15" borderId="1" xfId="16" applyAlignment="1">
      <alignment vertical="center"/>
      <protection locked="0"/>
    </xf>
    <xf numFmtId="0" fontId="0" fillId="0" borderId="19" xfId="0" applyBorder="1"/>
    <xf numFmtId="0" fontId="0" fillId="0" borderId="19" xfId="0" applyBorder="1" applyAlignment="1">
      <alignment horizontal="center"/>
    </xf>
    <xf numFmtId="0" fontId="46" fillId="16" borderId="1" xfId="17" applyNumberFormat="1" applyAlignment="1">
      <alignment horizontal="left" vertical="center"/>
      <protection locked="0"/>
    </xf>
    <xf numFmtId="0" fontId="14" fillId="17" borderId="1" xfId="18" applyAlignment="1">
      <alignment horizontal="left"/>
      <protection locked="0"/>
    </xf>
    <xf numFmtId="49" fontId="15" fillId="18" borderId="1" xfId="19" applyAlignment="1">
      <alignment horizontal="left" vertical="center"/>
      <protection locked="0"/>
    </xf>
    <xf numFmtId="0" fontId="0" fillId="0" borderId="21" xfId="0" applyBorder="1"/>
    <xf numFmtId="0" fontId="45" fillId="7" borderId="12" xfId="6" applyNumberFormat="1" applyBorder="1" applyAlignment="1">
      <alignment horizontal="left"/>
    </xf>
    <xf numFmtId="49" fontId="16" fillId="19" borderId="1" xfId="20"/>
    <xf numFmtId="49" fontId="16" fillId="20" borderId="1" xfId="21"/>
    <xf numFmtId="0" fontId="17" fillId="21" borderId="1" xfId="22">
      <protection locked="0"/>
    </xf>
    <xf numFmtId="0" fontId="17" fillId="21" borderId="1" xfId="22" applyNumberFormat="1" applyProtection="1"/>
    <xf numFmtId="164" fontId="18" fillId="22" borderId="1" xfId="23" applyAlignment="1">
      <protection locked="0"/>
    </xf>
    <xf numFmtId="0" fontId="18" fillId="22" borderId="1" xfId="23" applyNumberFormat="1" applyAlignment="1" applyProtection="1"/>
    <xf numFmtId="0" fontId="18" fillId="22" borderId="1" xfId="24" applyNumberFormat="1" applyAlignment="1">
      <alignment horizontal="left"/>
      <protection locked="0"/>
    </xf>
    <xf numFmtId="0" fontId="18" fillId="22" borderId="1" xfId="24" applyNumberFormat="1" applyAlignment="1" applyProtection="1"/>
    <xf numFmtId="0" fontId="17" fillId="23" borderId="1" xfId="25" applyNumberFormat="1">
      <protection locked="0"/>
    </xf>
    <xf numFmtId="0" fontId="17" fillId="23" borderId="1" xfId="25" applyNumberFormat="1" applyProtection="1"/>
    <xf numFmtId="0" fontId="19" fillId="24" borderId="1" xfId="26">
      <protection locked="0"/>
    </xf>
    <xf numFmtId="0" fontId="19" fillId="24" borderId="1" xfId="26" applyNumberFormat="1" applyProtection="1"/>
    <xf numFmtId="49" fontId="20" fillId="25" borderId="1" xfId="27"/>
    <xf numFmtId="49" fontId="20" fillId="26" borderId="1" xfId="28"/>
    <xf numFmtId="0" fontId="17" fillId="27" borderId="1" xfId="29">
      <protection locked="0"/>
    </xf>
    <xf numFmtId="0" fontId="18" fillId="28" borderId="1" xfId="30">
      <protection locked="0"/>
    </xf>
    <xf numFmtId="0" fontId="17" fillId="29" borderId="1" xfId="31">
      <protection locked="0"/>
    </xf>
    <xf numFmtId="0" fontId="21" fillId="30" borderId="1" xfId="32">
      <protection locked="0"/>
    </xf>
    <xf numFmtId="49" fontId="22" fillId="31" borderId="1" xfId="33"/>
    <xf numFmtId="49" fontId="22" fillId="32" borderId="1" xfId="34"/>
    <xf numFmtId="0" fontId="17" fillId="33" borderId="1" xfId="35"/>
    <xf numFmtId="164" fontId="44" fillId="34" borderId="1" xfId="36" applyAlignment="1"/>
    <xf numFmtId="0" fontId="44" fillId="34" borderId="1" xfId="37" applyNumberFormat="1" applyAlignment="1">
      <alignment horizontal="left"/>
    </xf>
    <xf numFmtId="0" fontId="17" fillId="35" borderId="1" xfId="38" applyNumberFormat="1"/>
    <xf numFmtId="0" fontId="23" fillId="36" borderId="1" xfId="39"/>
    <xf numFmtId="49" fontId="24" fillId="37" borderId="1" xfId="40"/>
    <xf numFmtId="49" fontId="24" fillId="38" borderId="1" xfId="41"/>
    <xf numFmtId="0" fontId="17" fillId="39" borderId="1" xfId="42"/>
    <xf numFmtId="0" fontId="44" fillId="40" borderId="1" xfId="43"/>
    <xf numFmtId="0" fontId="17" fillId="41" borderId="1" xfId="44"/>
    <xf numFmtId="0" fontId="25" fillId="42" borderId="1" xfId="45"/>
    <xf numFmtId="49" fontId="4" fillId="43" borderId="1" xfId="46"/>
    <xf numFmtId="0" fontId="17" fillId="44" borderId="1" xfId="47">
      <protection locked="0"/>
    </xf>
    <xf numFmtId="0" fontId="44" fillId="45" borderId="1" xfId="48">
      <protection locked="0"/>
    </xf>
    <xf numFmtId="0" fontId="17" fillId="46" borderId="1" xfId="49">
      <protection locked="0"/>
    </xf>
    <xf numFmtId="49" fontId="3" fillId="3" borderId="1" xfId="2">
      <protection locked="0"/>
    </xf>
    <xf numFmtId="49" fontId="0" fillId="0" borderId="24" xfId="0" applyNumberFormat="1" applyBorder="1"/>
    <xf numFmtId="0" fontId="0" fillId="0" borderId="25" xfId="0" applyBorder="1"/>
    <xf numFmtId="0" fontId="45" fillId="7" borderId="24" xfId="6" applyNumberFormat="1" applyBorder="1" applyAlignment="1">
      <alignment horizontal="left"/>
    </xf>
    <xf numFmtId="0" fontId="45" fillId="7" borderId="24" xfId="6" applyNumberFormat="1" applyBorder="1"/>
    <xf numFmtId="49" fontId="7" fillId="0" borderId="24" xfId="50" applyNumberFormat="1" applyFill="1" applyBorder="1" applyProtection="1">
      <protection locked="0"/>
    </xf>
    <xf numFmtId="0" fontId="17" fillId="46" borderId="24" xfId="49" applyBorder="1" applyAlignment="1">
      <alignment horizontal="center"/>
      <protection locked="0"/>
    </xf>
    <xf numFmtId="0" fontId="43" fillId="0" borderId="24" xfId="7" applyFill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0" xfId="0" applyNumberFormat="1" applyBorder="1" applyAlignment="1" applyProtection="1">
      <alignment horizontal="center"/>
    </xf>
    <xf numFmtId="0" fontId="0" fillId="0" borderId="0" xfId="0" applyNumberFormat="1" applyBorder="1" applyAlignment="1" applyProtection="1">
      <alignment horizontal="left"/>
    </xf>
    <xf numFmtId="0" fontId="0" fillId="0" borderId="0" xfId="0" applyNumberFormat="1" applyBorder="1" applyProtection="1"/>
    <xf numFmtId="0" fontId="0" fillId="47" borderId="1" xfId="0" applyFill="1" applyBorder="1" applyAlignment="1">
      <alignment horizontal="center"/>
    </xf>
    <xf numFmtId="0" fontId="43" fillId="49" borderId="0" xfId="7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51" borderId="26" xfId="0" applyFill="1" applyBorder="1" applyAlignment="1">
      <alignment horizontal="center"/>
    </xf>
    <xf numFmtId="0" fontId="43" fillId="53" borderId="24" xfId="7" applyFill="1" applyBorder="1" applyAlignment="1">
      <alignment horizontal="center"/>
    </xf>
    <xf numFmtId="0" fontId="0" fillId="50" borderId="18" xfId="0" applyFill="1" applyBorder="1" applyAlignment="1">
      <alignment horizontal="center"/>
    </xf>
    <xf numFmtId="0" fontId="43" fillId="53" borderId="26" xfId="7" applyFill="1" applyBorder="1" applyAlignment="1">
      <alignment horizontal="center"/>
    </xf>
    <xf numFmtId="0" fontId="0" fillId="54" borderId="24" xfId="0" applyFill="1" applyBorder="1" applyAlignment="1">
      <alignment horizontal="center"/>
    </xf>
    <xf numFmtId="0" fontId="0" fillId="51" borderId="18" xfId="0" applyFill="1" applyBorder="1" applyAlignment="1">
      <alignment horizontal="center"/>
    </xf>
    <xf numFmtId="0" fontId="43" fillId="53" borderId="18" xfId="7" applyFill="1" applyBorder="1" applyAlignment="1">
      <alignment horizontal="center"/>
    </xf>
    <xf numFmtId="0" fontId="0" fillId="54" borderId="18" xfId="0" applyFill="1" applyBorder="1" applyAlignment="1">
      <alignment horizontal="center"/>
    </xf>
    <xf numFmtId="0" fontId="43" fillId="0" borderId="0" xfId="7" applyFill="1" applyBorder="1" applyAlignment="1" applyProtection="1">
      <alignment horizontal="center"/>
      <protection locked="0"/>
    </xf>
    <xf numFmtId="0" fontId="43" fillId="46" borderId="24" xfId="7" applyFill="1" applyBorder="1" applyAlignment="1" applyProtection="1">
      <alignment horizontal="center"/>
      <protection locked="0"/>
    </xf>
    <xf numFmtId="0" fontId="7" fillId="46" borderId="24" xfId="50" applyFill="1" applyBorder="1" applyAlignment="1" applyProtection="1">
      <alignment horizontal="center"/>
      <protection locked="0"/>
    </xf>
    <xf numFmtId="0" fontId="7" fillId="48" borderId="1" xfId="50" applyFill="1" applyBorder="1" applyAlignment="1" applyProtection="1">
      <alignment horizontal="center"/>
      <protection locked="0"/>
    </xf>
    <xf numFmtId="0" fontId="7" fillId="52" borderId="24" xfId="50" applyFill="1" applyBorder="1" applyAlignment="1" applyProtection="1">
      <alignment horizontal="center"/>
      <protection locked="0"/>
    </xf>
    <xf numFmtId="0" fontId="7" fillId="52" borderId="26" xfId="50" applyFill="1" applyBorder="1" applyAlignment="1" applyProtection="1">
      <alignment horizontal="center"/>
      <protection locked="0"/>
    </xf>
    <xf numFmtId="0" fontId="7" fillId="52" borderId="18" xfId="50" applyFill="1" applyBorder="1" applyAlignment="1" applyProtection="1">
      <alignment horizontal="center"/>
      <protection locked="0"/>
    </xf>
    <xf numFmtId="0" fontId="17" fillId="27" borderId="1" xfId="29" applyNumberFormat="1" applyProtection="1"/>
    <xf numFmtId="0" fontId="5" fillId="6" borderId="1" xfId="5" applyNumberFormat="1" applyProtection="1"/>
    <xf numFmtId="0" fontId="5" fillId="5" borderId="1" xfId="4" applyNumberFormat="1" applyProtection="1"/>
    <xf numFmtId="0" fontId="8" fillId="9" borderId="1" xfId="8" applyNumberFormat="1" applyProtection="1"/>
    <xf numFmtId="0" fontId="45" fillId="7" borderId="1" xfId="6" applyNumberFormat="1" applyProtection="1"/>
    <xf numFmtId="0" fontId="8" fillId="10" borderId="1" xfId="9" applyNumberFormat="1" applyProtection="1"/>
    <xf numFmtId="0" fontId="9" fillId="11" borderId="1" xfId="10" applyNumberFormat="1" applyProtection="1"/>
    <xf numFmtId="0" fontId="10" fillId="5" borderId="1" xfId="11" applyNumberFormat="1" applyProtection="1"/>
    <xf numFmtId="0" fontId="9" fillId="12" borderId="1" xfId="12" applyNumberFormat="1" applyProtection="1"/>
    <xf numFmtId="0" fontId="11" fillId="13" borderId="1" xfId="13" applyNumberFormat="1" applyProtection="1"/>
    <xf numFmtId="0" fontId="12" fillId="2" borderId="1" xfId="1" applyNumberFormat="1" applyFont="1" applyAlignment="1" applyProtection="1">
      <alignment horizontal="left"/>
    </xf>
    <xf numFmtId="0" fontId="13" fillId="2" borderId="1" xfId="14" applyNumberFormat="1" applyAlignment="1" applyProtection="1">
      <alignment vertical="center"/>
    </xf>
    <xf numFmtId="0" fontId="13" fillId="14" borderId="1" xfId="15" applyNumberFormat="1" applyAlignment="1" applyProtection="1">
      <alignment horizontal="left" vertical="center"/>
    </xf>
    <xf numFmtId="0" fontId="14" fillId="15" borderId="1" xfId="16" applyNumberFormat="1" applyAlignment="1" applyProtection="1">
      <alignment vertical="center"/>
    </xf>
    <xf numFmtId="0" fontId="46" fillId="16" borderId="1" xfId="17" applyNumberFormat="1" applyAlignment="1" applyProtection="1"/>
    <xf numFmtId="0" fontId="14" fillId="17" borderId="1" xfId="18" applyNumberFormat="1" applyAlignment="1" applyProtection="1">
      <alignment horizontal="left" vertical="center"/>
    </xf>
    <xf numFmtId="0" fontId="15" fillId="18" borderId="1" xfId="19" applyNumberFormat="1" applyAlignment="1" applyProtection="1">
      <alignment horizontal="left" vertical="center"/>
    </xf>
    <xf numFmtId="0" fontId="16" fillId="19" borderId="1" xfId="20" applyNumberFormat="1" applyProtection="1"/>
    <xf numFmtId="0" fontId="16" fillId="20" borderId="1" xfId="21" applyNumberFormat="1" applyProtection="1"/>
    <xf numFmtId="0" fontId="20" fillId="25" borderId="1" xfId="27" applyNumberFormat="1" applyProtection="1"/>
    <xf numFmtId="0" fontId="20" fillId="26" borderId="1" xfId="28" applyNumberFormat="1" applyProtection="1"/>
    <xf numFmtId="0" fontId="18" fillId="28" borderId="1" xfId="30" applyNumberFormat="1" applyProtection="1"/>
    <xf numFmtId="0" fontId="17" fillId="29" borderId="1" xfId="31" applyNumberFormat="1" applyProtection="1"/>
    <xf numFmtId="0" fontId="21" fillId="30" borderId="1" xfId="32" applyNumberFormat="1" applyProtection="1"/>
    <xf numFmtId="0" fontId="22" fillId="31" borderId="1" xfId="33" applyNumberFormat="1" applyProtection="1"/>
    <xf numFmtId="0" fontId="22" fillId="32" borderId="1" xfId="34" applyNumberFormat="1" applyProtection="1"/>
    <xf numFmtId="0" fontId="17" fillId="33" borderId="1" xfId="35" applyNumberFormat="1" applyProtection="1"/>
    <xf numFmtId="0" fontId="44" fillId="34" borderId="1" xfId="36" applyNumberFormat="1" applyAlignment="1" applyProtection="1"/>
    <xf numFmtId="0" fontId="44" fillId="34" borderId="1" xfId="37" applyNumberFormat="1" applyAlignment="1" applyProtection="1"/>
    <xf numFmtId="0" fontId="17" fillId="35" borderId="1" xfId="38" applyNumberFormat="1" applyProtection="1"/>
    <xf numFmtId="0" fontId="23" fillId="36" borderId="1" xfId="39" applyNumberFormat="1" applyProtection="1"/>
    <xf numFmtId="0" fontId="24" fillId="37" borderId="1" xfId="40" applyNumberFormat="1" applyProtection="1"/>
    <xf numFmtId="0" fontId="24" fillId="38" borderId="1" xfId="41" applyNumberFormat="1" applyProtection="1"/>
    <xf numFmtId="0" fontId="17" fillId="39" borderId="1" xfId="42" applyNumberFormat="1" applyProtection="1"/>
    <xf numFmtId="0" fontId="44" fillId="40" borderId="1" xfId="43" applyNumberFormat="1" applyProtection="1"/>
    <xf numFmtId="0" fontId="17" fillId="41" borderId="1" xfId="44" applyNumberFormat="1" applyProtection="1"/>
    <xf numFmtId="0" fontId="25" fillId="42" borderId="1" xfId="45" applyNumberFormat="1" applyProtection="1"/>
    <xf numFmtId="0" fontId="4" fillId="43" borderId="1" xfId="46" applyNumberFormat="1" applyProtection="1"/>
    <xf numFmtId="0" fontId="4" fillId="4" borderId="1" xfId="3" applyNumberFormat="1" applyProtection="1"/>
    <xf numFmtId="0" fontId="17" fillId="44" borderId="1" xfId="47" applyNumberFormat="1" applyProtection="1"/>
    <xf numFmtId="0" fontId="44" fillId="45" borderId="1" xfId="48" applyNumberFormat="1" applyProtection="1"/>
    <xf numFmtId="0" fontId="17" fillId="46" borderId="1" xfId="49" applyNumberFormat="1" applyProtection="1"/>
    <xf numFmtId="0" fontId="3" fillId="3" borderId="1" xfId="2" applyNumberFormat="1" applyProtection="1"/>
    <xf numFmtId="0" fontId="0" fillId="0" borderId="24" xfId="0" applyNumberFormat="1" applyBorder="1" applyProtection="1"/>
    <xf numFmtId="0" fontId="7" fillId="0" borderId="24" xfId="50" applyNumberFormat="1" applyBorder="1" applyProtection="1"/>
    <xf numFmtId="0" fontId="43" fillId="0" borderId="24" xfId="7" applyNumberFormat="1" applyFill="1" applyBorder="1" applyProtection="1"/>
    <xf numFmtId="0" fontId="44" fillId="45" borderId="7" xfId="48" applyBorder="1" applyAlignment="1">
      <alignment horizontal="center"/>
      <protection locked="0"/>
    </xf>
    <xf numFmtId="0" fontId="44" fillId="45" borderId="0" xfId="48" applyBorder="1" applyAlignment="1">
      <alignment horizontal="center"/>
      <protection locked="0"/>
    </xf>
    <xf numFmtId="0" fontId="44" fillId="45" borderId="8" xfId="48" applyBorder="1" applyAlignment="1">
      <alignment horizontal="center"/>
      <protection locked="0"/>
    </xf>
    <xf numFmtId="0" fontId="44" fillId="45" borderId="10" xfId="48" applyBorder="1" applyAlignment="1">
      <alignment horizontal="center"/>
      <protection locked="0"/>
    </xf>
    <xf numFmtId="0" fontId="44" fillId="45" borderId="9" xfId="48" applyBorder="1" applyAlignment="1">
      <alignment horizontal="center"/>
      <protection locked="0"/>
    </xf>
    <xf numFmtId="0" fontId="44" fillId="45" borderId="11" xfId="48" applyBorder="1" applyAlignment="1">
      <alignment horizontal="center"/>
      <protection locked="0"/>
    </xf>
    <xf numFmtId="0" fontId="44" fillId="45" borderId="14" xfId="48" applyBorder="1" applyAlignment="1">
      <alignment horizontal="center"/>
      <protection locked="0"/>
    </xf>
    <xf numFmtId="0" fontId="44" fillId="45" borderId="15" xfId="48" applyBorder="1" applyAlignment="1">
      <alignment horizontal="center"/>
      <protection locked="0"/>
    </xf>
    <xf numFmtId="0" fontId="44" fillId="45" borderId="16" xfId="48" applyBorder="1" applyAlignment="1">
      <alignment horizontal="center"/>
      <protection locked="0"/>
    </xf>
    <xf numFmtId="0" fontId="44" fillId="45" borderId="20" xfId="48" applyBorder="1" applyAlignment="1">
      <alignment horizontal="center"/>
      <protection locked="0"/>
    </xf>
    <xf numFmtId="0" fontId="44" fillId="45" borderId="19" xfId="48" applyBorder="1" applyAlignment="1">
      <alignment horizontal="center"/>
      <protection locked="0"/>
    </xf>
    <xf numFmtId="0" fontId="44" fillId="45" borderId="22" xfId="48" applyBorder="1" applyAlignment="1">
      <alignment horizontal="center"/>
      <protection locked="0"/>
    </xf>
    <xf numFmtId="0" fontId="44" fillId="45" borderId="21" xfId="48" applyBorder="1" applyAlignment="1">
      <alignment horizontal="center"/>
      <protection locked="0"/>
    </xf>
    <xf numFmtId="0" fontId="44" fillId="45" borderId="23" xfId="48" applyBorder="1" applyAlignment="1">
      <alignment horizontal="center"/>
      <protection locked="0"/>
    </xf>
    <xf numFmtId="0" fontId="0" fillId="0" borderId="0" xfId="0" quotePrefix="1"/>
    <xf numFmtId="0" fontId="8" fillId="10" borderId="1" xfId="9"/>
    <xf numFmtId="0" fontId="17" fillId="35" borderId="1" xfId="38"/>
    <xf numFmtId="0" fontId="0" fillId="0" borderId="0" xfId="0" applyAlignment="1">
      <alignment horizontal="right"/>
    </xf>
    <xf numFmtId="0" fontId="17" fillId="46" borderId="1" xfId="49" applyAlignment="1">
      <alignment horizontal="right"/>
      <protection locked="0"/>
    </xf>
    <xf numFmtId="0" fontId="0" fillId="0" borderId="0" xfId="0" applyAlignment="1">
      <alignment horizontal="left" textRotation="45"/>
    </xf>
    <xf numFmtId="49" fontId="4" fillId="4" borderId="1" xfId="3" applyAlignment="1">
      <alignment horizontal="left" textRotation="45"/>
    </xf>
    <xf numFmtId="49" fontId="22" fillId="32" borderId="1" xfId="34" applyAlignment="1">
      <alignment horizontal="left" textRotation="45"/>
    </xf>
    <xf numFmtId="49" fontId="5" fillId="5" borderId="1" xfId="4" applyAlignment="1">
      <alignment horizontal="left" textRotation="45"/>
    </xf>
    <xf numFmtId="0" fontId="2" fillId="2" borderId="2" xfId="1" applyNumberFormat="1" applyBorder="1">
      <alignment horizontal="center" vertical="center"/>
    </xf>
    <xf numFmtId="0" fontId="2" fillId="2" borderId="3" xfId="1" applyNumberFormat="1" applyBorder="1">
      <alignment horizontal="center" vertical="center"/>
    </xf>
    <xf numFmtId="0" fontId="2" fillId="2" borderId="4" xfId="1" applyNumberFormat="1" applyBorder="1">
      <alignment horizontal="center" vertical="center"/>
    </xf>
    <xf numFmtId="0" fontId="2" fillId="2" borderId="1" xfId="1" applyNumberFormat="1">
      <alignment horizontal="center" vertical="center"/>
    </xf>
    <xf numFmtId="49" fontId="2" fillId="2" borderId="1" xfId="1">
      <alignment horizontal="center" vertical="center"/>
    </xf>
    <xf numFmtId="49" fontId="2" fillId="2" borderId="2" xfId="1" applyBorder="1">
      <alignment horizontal="center" vertical="center"/>
    </xf>
    <xf numFmtId="49" fontId="2" fillId="2" borderId="3" xfId="1" applyBorder="1">
      <alignment horizontal="center" vertical="center"/>
    </xf>
    <xf numFmtId="49" fontId="2" fillId="2" borderId="4" xfId="1" applyBorder="1">
      <alignment horizontal="center" vertical="center"/>
    </xf>
    <xf numFmtId="49" fontId="2" fillId="2" borderId="5" xfId="1" applyBorder="1">
      <alignment horizontal="center" vertical="center"/>
    </xf>
    <xf numFmtId="49" fontId="2" fillId="2" borderId="6" xfId="1" applyBorder="1">
      <alignment horizontal="center" vertical="center"/>
    </xf>
    <xf numFmtId="49" fontId="3" fillId="3" borderId="1" xfId="2" applyAlignment="1">
      <alignment horizontal="center"/>
      <protection locked="0"/>
    </xf>
    <xf numFmtId="49" fontId="3" fillId="3" borderId="2" xfId="2" applyBorder="1" applyAlignment="1">
      <alignment horizontal="center"/>
      <protection locked="0"/>
    </xf>
    <xf numFmtId="49" fontId="2" fillId="2" borderId="5" xfId="1" applyBorder="1" applyAlignment="1">
      <alignment horizontal="center" vertical="center"/>
    </xf>
    <xf numFmtId="49" fontId="2" fillId="2" borderId="6" xfId="1" applyBorder="1" applyAlignment="1">
      <alignment horizontal="center" vertical="center"/>
    </xf>
    <xf numFmtId="49" fontId="2" fillId="2" borderId="36" xfId="1" applyBorder="1" applyAlignment="1">
      <alignment horizontal="center" vertical="center"/>
    </xf>
    <xf numFmtId="6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quotePrefix="1" applyAlignment="1">
      <alignment wrapText="1"/>
    </xf>
  </cellXfs>
  <cellStyles count="96">
    <cellStyle name="20% - Accent1" xfId="73" builtinId="30" hidden="1"/>
    <cellStyle name="20% - Accent2" xfId="77" builtinId="34" hidden="1"/>
    <cellStyle name="20% - Accent3" xfId="81" builtinId="38" hidden="1"/>
    <cellStyle name="20% - Accent4" xfId="85" builtinId="42" hidden="1"/>
    <cellStyle name="20% - Accent5" xfId="89" builtinId="46" hidden="1"/>
    <cellStyle name="20% - Accent6" xfId="93" builtinId="50" hidden="1"/>
    <cellStyle name="40% - Accent1" xfId="74" builtinId="31" hidden="1"/>
    <cellStyle name="40% - Accent2" xfId="78" builtinId="35" hidden="1"/>
    <cellStyle name="40% - Accent3" xfId="82" builtinId="39" hidden="1"/>
    <cellStyle name="40% - Accent4" xfId="86" builtinId="43" hidden="1"/>
    <cellStyle name="40% - Accent5" xfId="90" builtinId="47" hidden="1"/>
    <cellStyle name="40% - Accent6" xfId="94" builtinId="51" hidden="1"/>
    <cellStyle name="60% - Accent1" xfId="75" builtinId="32" hidden="1"/>
    <cellStyle name="60% - Accent2" xfId="79" builtinId="36" hidden="1"/>
    <cellStyle name="60% - Accent3" xfId="83" builtinId="40" hidden="1"/>
    <cellStyle name="60% - Accent4" xfId="87" builtinId="44" hidden="1"/>
    <cellStyle name="60% - Accent5" xfId="91" builtinId="48" hidden="1"/>
    <cellStyle name="60% - Accent6" xfId="95" builtinId="52" hidden="1"/>
    <cellStyle name="Accent1" xfId="72" builtinId="29" hidden="1"/>
    <cellStyle name="Accent2" xfId="76" builtinId="33" hidden="1"/>
    <cellStyle name="Accent3" xfId="80" builtinId="37" hidden="1"/>
    <cellStyle name="Accent4" xfId="84" builtinId="41" hidden="1"/>
    <cellStyle name="Accent5" xfId="88" builtinId="45" hidden="1"/>
    <cellStyle name="Accent6" xfId="92" builtinId="49" hidden="1"/>
    <cellStyle name="ActBox" xfId="19" xr:uid="{E9D5295D-5DA9-4C40-8176-D4C953306789}"/>
    <cellStyle name="ActDeac" xfId="13" xr:uid="{B0123C0C-698C-403F-A9BC-31F2E7A664B5}"/>
    <cellStyle name="ActError" xfId="32" xr:uid="{1D698B1B-F8E6-4073-9975-5F9F06B4BFB3}"/>
    <cellStyle name="ActFind" xfId="39" xr:uid="{F336D8D6-221A-4916-B205-72AC83CA0D77}"/>
    <cellStyle name="ActGood" xfId="45" xr:uid="{F7FE5BFE-16C0-4BB1-835B-1E65C66688AD}"/>
    <cellStyle name="ActMiss" xfId="26" xr:uid="{C6D6EE05-6754-45DE-B108-6D8678EFCB9A}"/>
    <cellStyle name="ActNote" xfId="2" xr:uid="{43CC9BFD-1E0B-4998-AE86-368F69D7E12D}"/>
    <cellStyle name="Bad" xfId="61" builtinId="27" hidden="1"/>
    <cellStyle name="BoxCell" xfId="18" xr:uid="{2B53F66D-773F-459F-A172-DE9C870160A1}"/>
    <cellStyle name="BoxHD" xfId="15" xr:uid="{35545A98-C36B-4EB5-999E-DB4B4BE578E7}"/>
    <cellStyle name="BoxHdKey" xfId="14" xr:uid="{8D4BD8C5-E99B-4F46-91FE-4380A34D0BF5}"/>
    <cellStyle name="BoxKey" xfId="16" xr:uid="{ACFCB33F-6009-4345-A221-A16FFC5538B9}"/>
    <cellStyle name="BoxTitle" xfId="1" xr:uid="{3FFDEDF2-5050-4DCC-B509-AB7ABEE45471}"/>
    <cellStyle name="BoxVal" xfId="17" xr:uid="{ED9BCB35-F602-4189-AFFA-9AEB40D921B8}"/>
    <cellStyle name="CalcCell" xfId="9" xr:uid="{C0B71F2E-D1AB-4F46-A339-FEB6B67FD4A0}"/>
    <cellStyle name="CalcHd" xfId="4" xr:uid="{1A956925-A2BA-4657-B97F-D89DC1761510}"/>
    <cellStyle name="CalcHdKey" xfId="5" xr:uid="{98A14AA5-619B-48F5-809A-4DDF8E65431C}"/>
    <cellStyle name="CalcKey" xfId="8" xr:uid="{3B665BEE-5775-41CB-A800-D4CC921B1649}"/>
    <cellStyle name="Calculation" xfId="65" builtinId="22" hidden="1"/>
    <cellStyle name="CalcVal" xfId="6" xr:uid="{2064D223-D021-40A8-A990-DA3BE98CACEA}"/>
    <cellStyle name="Check Cell" xfId="67" builtinId="23" hidden="1"/>
    <cellStyle name="Comma" xfId="51" builtinId="3" hidden="1"/>
    <cellStyle name="Comma [0]" xfId="52" builtinId="6" hidden="1"/>
    <cellStyle name="Currency" xfId="53" builtinId="4" hidden="1"/>
    <cellStyle name="Currency [0]" xfId="54" builtinId="7" hidden="1"/>
    <cellStyle name="DeacCell" xfId="12" xr:uid="{172EF06D-7127-4341-BF3B-CC56E29C13E0}"/>
    <cellStyle name="DeacHd" xfId="11" xr:uid="{48B48F4F-A6B5-4556-95EA-925B964C60D0}"/>
    <cellStyle name="DeacHdKey" xfId="10" xr:uid="{C9A07593-E5D9-4017-AC59-B41ADB4FF298}"/>
    <cellStyle name="ErrCell" xfId="31" xr:uid="{E37217FC-1F5F-43D4-B12D-CB235E89A3D2}"/>
    <cellStyle name="ErrHd" xfId="28" xr:uid="{8161D15E-58F2-4BFD-8E35-36AB43AB21BB}"/>
    <cellStyle name="ErrHdKey" xfId="27" xr:uid="{61185D83-5426-4D7A-951A-62C517D41BAA}"/>
    <cellStyle name="ErrKey" xfId="29" xr:uid="{F9A3E642-5230-4BCE-B501-3AF3211EA9E6}"/>
    <cellStyle name="ErrVal" xfId="30" xr:uid="{786FF65B-0E89-474C-B168-30E8081B82B1}"/>
    <cellStyle name="Explanatory Text" xfId="70" builtinId="53" hidden="1"/>
    <cellStyle name="Good" xfId="60" builtinId="26" hidden="1"/>
    <cellStyle name="Heading 1" xfId="56" builtinId="16" hidden="1"/>
    <cellStyle name="Heading 2" xfId="57" builtinId="17" hidden="1"/>
    <cellStyle name="Heading 3" xfId="58" builtinId="18" hidden="1"/>
    <cellStyle name="Heading 4" xfId="59" builtinId="19" hidden="1"/>
    <cellStyle name="InpCell" xfId="25" xr:uid="{E6B983E4-701B-46D6-933E-24C90B115B55}"/>
    <cellStyle name="InpDate" xfId="23" xr:uid="{DFB64EA1-8CC8-4C4E-90C1-B6DBF013EEBB}"/>
    <cellStyle name="InpHd" xfId="21" xr:uid="{627469D1-F908-433B-BA95-7D2CF783BB15}"/>
    <cellStyle name="InpHdKey" xfId="20" xr:uid="{1A9CF177-F371-4FFF-B04D-3B8ABEEFEE7F}"/>
    <cellStyle name="InpKey" xfId="22" xr:uid="{FB3CD922-E335-49A9-BA0B-B964AE66A9DB}"/>
    <cellStyle name="Input" xfId="63" builtinId="20" hidden="1"/>
    <cellStyle name="InpVal" xfId="24" xr:uid="{5BCC7B5B-17B8-4FFA-A5C9-24994972622A}"/>
    <cellStyle name="IntCell" xfId="49" xr:uid="{43002521-CBBD-4D4C-A724-6547AB9B6065}"/>
    <cellStyle name="IntHd" xfId="3" xr:uid="{7B1821A9-BB3D-4598-9CB3-EC8B58BBC15F}"/>
    <cellStyle name="IntHdKey" xfId="46" xr:uid="{3734EAAE-30BA-4F52-9352-31F2ACD6BBC4}"/>
    <cellStyle name="IntKey" xfId="47" xr:uid="{5F4C704A-32FA-469A-816E-06724F601688}"/>
    <cellStyle name="IntVal" xfId="48" xr:uid="{E0D09A8E-4E12-462F-8C69-AC1F68387784}"/>
    <cellStyle name="Linked Cell" xfId="66" builtinId="24" hidden="1"/>
    <cellStyle name="LkpCell" xfId="38" xr:uid="{00C6E783-6666-4AE9-A37A-44A8C4A4FB78}"/>
    <cellStyle name="LkpDate" xfId="36" xr:uid="{CD937D96-C07B-4B94-AD41-67417E650CE3}"/>
    <cellStyle name="LkpHd" xfId="34" xr:uid="{B9BC84D1-8BC3-4CC0-9F9B-E0149B2F427A}"/>
    <cellStyle name="LkpHdKey" xfId="33" xr:uid="{15877CA1-3D4D-49DA-8D77-3BD63823FD24}"/>
    <cellStyle name="LkpKey" xfId="35" xr:uid="{386EB2F4-EE70-4862-BDA5-BF11EE869F59}"/>
    <cellStyle name="LkpVal" xfId="37" xr:uid="{C5B2E378-5759-4CB1-81A4-EE8A33C028B2}"/>
    <cellStyle name="Neutral" xfId="62" builtinId="28" hidden="1"/>
    <cellStyle name="Normal" xfId="0" builtinId="0"/>
    <cellStyle name="Note" xfId="69" builtinId="10" hidden="1"/>
    <cellStyle name="Output" xfId="64" builtinId="21" hidden="1"/>
    <cellStyle name="QueCell" xfId="44" xr:uid="{ABD9BB1B-A630-487F-9843-AC87BA87F2D2}"/>
    <cellStyle name="QueHd" xfId="41" xr:uid="{6C4F740E-1F02-4975-BCCB-31E25020E2BD}"/>
    <cellStyle name="QueHdKey" xfId="40" xr:uid="{B969472D-0581-446E-973A-9143B0C994C8}"/>
    <cellStyle name="QueKey" xfId="42" xr:uid="{53F9A327-9DFA-404F-A45E-AECA9F6FEE5E}"/>
    <cellStyle name="QueVal" xfId="43" xr:uid="{0CD489EE-AABA-4B40-BFBE-0673F6EE1972}"/>
    <cellStyle name="Title" xfId="55" builtinId="15" hidden="1"/>
    <cellStyle name="Total" xfId="71" builtinId="25" hidden="1"/>
    <cellStyle name="Warning Text" xfId="68" builtinId="11" hidden="1"/>
    <cellStyle name="xCond" xfId="50" xr:uid="{5B9B1DCE-3B93-4849-8B15-7391E1295E58}"/>
    <cellStyle name="xMono" xfId="7" xr:uid="{F4EE984E-8171-46A3-9265-16FDAED8EED8}"/>
  </cellStyles>
  <dxfs count="5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border outline="0">
        <top style="thin">
          <color auto="1"/>
        </top>
      </border>
    </dxf>
    <dxf>
      <alignment horizontal="left" vertical="bottom" textRotation="45" wrapText="0" indent="0" justifyLastLine="0" shrinkToFit="0" readingOrder="0"/>
    </dxf>
    <dxf>
      <border outline="0">
        <top style="thin">
          <color auto="1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Bahnschrift"/>
        <family val="2"/>
        <scheme val="minor"/>
      </font>
    </dxf>
    <dxf>
      <border outline="0">
        <left style="thin">
          <color auto="1"/>
        </left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</border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border outline="0">
        <left style="thin">
          <color auto="1"/>
        </left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b val="0"/>
        <i val="0"/>
        <strike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InternalTable" pivot="0" count="7" xr9:uid="{1F869E06-8D10-4872-B432-DA53BC3185A2}">
      <tableStyleElement type="wholeTable" dxfId="58"/>
      <tableStyleElement type="headerRow" dxfId="57"/>
      <tableStyleElement type="totalRow" dxfId="56"/>
      <tableStyleElement type="firstColumn" dxfId="55"/>
      <tableStyleElement type="lastColumn" dxfId="54"/>
      <tableStyleElement type="firstHeaderCell" dxfId="53"/>
      <tableStyleElement type="firstTotalCell" dxfId="5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1025" name="UseCol3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228600</xdr:colOff>
          <xdr:row>0</xdr:row>
          <xdr:rowOff>104775</xdr:rowOff>
        </xdr:from>
        <xdr:to>
          <xdr:col>25</xdr:col>
          <xdr:colOff>571500</xdr:colOff>
          <xdr:row>2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Bahnschrift"/>
                </a:rPr>
                <a:t>Update Styles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ohntay4\source\repos\Git\OfficeLib\Excel%20Template.xltm" TargetMode="External"/><Relationship Id="rId1" Type="http://schemas.openxmlformats.org/officeDocument/2006/relationships/externalLinkPath" Target="/Users/johntay4/source/repos/Git/OfficeLib/Excel%20Template.xlt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Key"/>
      <sheetName val="Sheet1"/>
      <sheetName val="Excel Template"/>
    </sheetNames>
    <definedNames>
      <definedName name="UpdateStyles"/>
    </definedNames>
    <sheetDataSet>
      <sheetData sheetId="0"/>
      <sheetData sheetId="1"/>
      <sheetData sheetId="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44C422-3392-49D9-9620-79F3CE62EB3A}" name="KeyTable" displayName="KeyTable" ref="A2:Q53" tableBorderDxfId="51" headerRowCellStyle="Normal">
  <tableColumns count="17">
    <tableColumn id="1" xr3:uid="{80CF24FC-CC24-4BD1-8D18-599247DD5161}" name="Cell Name" totalsRowLabel="Total" dataDxfId="50"/>
    <tableColumn id="10" xr3:uid="{5BBB1371-2A50-4525-8AD0-93F3F87996BA}" name="StyleName" dataDxfId="49">
      <calculatedColumnFormula>KeyTable[[#This Row],[Class]]&amp;KeyTable[[#This Row],[Type]]</calculatedColumnFormula>
    </tableColumn>
    <tableColumn id="17" xr3:uid="{0DD8CF2B-4734-427B-B5ED-BCAD04F2CB7F}" name="Class" dataDxfId="48" totalsRowDxfId="47"/>
    <tableColumn id="18" xr3:uid="{08ABF727-51AC-46F2-8E04-42A19D2F541F}" name="Type" totalsRowDxfId="46"/>
    <tableColumn id="2" xr3:uid="{3412E2DF-7048-4C3D-98F4-73742484D56B}" name="Where Used" totalsRowDxfId="45"/>
    <tableColumn id="8" xr3:uid="{A8961507-4023-48E7-8E7D-B63DB84C0736}" name="Fmt Notes" totalsRowFunction="count" totalsRowDxfId="44"/>
    <tableColumn id="19" xr3:uid="{C2B6EA33-3A92-4D7E-B9D0-E85FE588B0B6}" name="Locked" dataDxfId="43" dataCellStyle="IntCell"/>
    <tableColumn id="9" xr3:uid="{8DEC6646-966F-4B11-A2AA-4E9F5AEDAC5E}" name="Font" dataDxfId="42" dataCellStyle="IntCell"/>
    <tableColumn id="12" xr3:uid="{BC70E6CA-D23D-4B26-9AF6-1613D2043594}" name="Fnt" dataDxfId="41" dataCellStyle="IntVal"/>
    <tableColumn id="11" xr3:uid="{E5F1817D-2118-4E73-BB3A-69FBFB1975EE}" name="Base" dataDxfId="40" totalsRowDxfId="39" dataCellStyle="IntVal"/>
    <tableColumn id="16" xr3:uid="{06213DAE-1831-451B-B9A1-F477FA5CCC86}" name="Pat" dataDxfId="38" totalsRowDxfId="37" dataCellStyle="IntVal"/>
    <tableColumn id="13" xr3:uid="{8DA91684-D3B6-417B-BAD4-F815378632C1}" name="BOv" dataDxfId="36" totalsRowDxfId="35" dataCellStyle="IntVal"/>
    <tableColumn id="14" xr3:uid="{49F6951D-69E6-4E9A-8DBD-A33B021A7B0B}" name="FOv" dataDxfId="34" totalsRowDxfId="33" dataCellStyle="IntVal"/>
    <tableColumn id="15" xr3:uid="{CBA89FEA-2D0C-499A-8AC2-D780503FF4B0}" name="POv" dataDxfId="32" totalsRowDxfId="31" dataCellStyle="IntVal"/>
    <tableColumn id="5" xr3:uid="{D16FC71D-C720-4657-B20B-4E1F662AA901}" name="BgClr" dataDxfId="30" totalsRowDxfId="29" dataCellStyle="CalcVal">
      <calculatedColumnFormula array="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calculatedColumnFormula>
    </tableColumn>
    <tableColumn id="6" xr3:uid="{3C36BB83-CB52-4F52-A8A2-97E8605BAB98}" name="TxClr" dataDxfId="28" totalsRowDxfId="27" dataCellStyle="CalcVal">
      <calculatedColumnFormula array="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calculatedColumnFormula>
    </tableColumn>
    <tableColumn id="7" xr3:uid="{AB199248-8696-477E-87D5-BF139CFF7F81}" name="PtClr" dataDxfId="26" totalsRowDxfId="25" dataCellStyle="CalcVal">
      <calculatedColumnFormula array="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calculatedColumnFormula>
    </tableColumn>
  </tableColumns>
  <tableStyleInfo name="InternalTable" showFirstColumn="1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A9E8482-EE18-418F-A00C-41BED5D39A8E}" name="BoolTable" displayName="BoolTable" ref="S2:S4" totalsRowShown="0" dataDxfId="24" tableBorderDxfId="23" headerRowCellStyle="Normal">
  <tableColumns count="1">
    <tableColumn id="1" xr3:uid="{F1F7BA17-C86A-48DF-B56F-AEF39628F81B}" name="Bool" dataDxfId="22"/>
  </tableColumns>
  <tableStyleInfo name="InternalTable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8F1FD4-CEB2-4150-A882-5323CC489FF0}" name="YNTable" displayName="YNTable" ref="T2:T4" totalsRowShown="0" dataDxfId="21" headerRowCellStyle="Normal">
  <tableColumns count="1">
    <tableColumn id="1" xr3:uid="{DADB04D9-D30A-40D8-874E-5716566B8F8A}" name="YN" dataDxfId="20"/>
  </tableColumns>
  <tableStyleInfo name="InternalTable" showFirstColumn="1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E72D0E-C193-4771-B921-53B06B01197B}" name="SizeOverrideTable" displayName="SizeOverrideTable" ref="V2:X3" totalsRowShown="0" dataDxfId="19" tableBorderDxfId="18" headerRowCellStyle="Normal">
  <tableColumns count="3">
    <tableColumn id="1" xr3:uid="{CAEA47A7-82FC-4581-9D66-C205FDB4B631}" name="Cell Title" dataDxfId="17"/>
    <tableColumn id="2" xr3:uid="{806557F3-DE29-4911-A4D0-72AFDE4E4EAE}" name="Headers" dataDxfId="16"/>
    <tableColumn id="3" xr3:uid="{327D49A8-2B32-4CB5-B930-E8C51384F160}" name="Cells" dataDxfId="15"/>
  </tableColumns>
  <tableStyleInfo name="InternalTable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C9A627C-F8E6-468D-9EDA-C96C556272DE}" name="FontTable" displayName="FontTable" ref="AA2:AD3" totalsRowShown="0" tableBorderDxfId="14" headerRowCellStyle="Normal">
  <tableColumns count="4">
    <tableColumn id="1" xr3:uid="{AA36FA2B-ECA5-4506-801D-742C3C40D021}" name="Head" dataCellStyle="Normal"/>
    <tableColumn id="2" xr3:uid="{A76D090D-69D3-4D88-B53C-00EC2EDF41B6}" name="Body" dataDxfId="13" dataCellStyle="Normal"/>
    <tableColumn id="3" xr3:uid="{774BD5FF-24C8-4D33-B060-95F39D95A833}" name="Mono" dataCellStyle="xMono"/>
    <tableColumn id="4" xr3:uid="{42346073-B71A-45EB-9ABB-F85EF4BA7070}" name="Cond" dataDxfId="12"/>
  </tableColumns>
  <tableStyleInfo name="Internal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8A527FE-AC33-4B7B-9095-B1822CFD4C27}" name="TableTypeTable" displayName="TableTypeTable" ref="AF2:AI9" totalsRowShown="0" tableBorderDxfId="11" headerRowCellStyle="Normal">
  <autoFilter ref="AF2:AI9" xr:uid="{E3C7BD82-B032-4B36-8AD8-57EFE6ED1392}">
    <filterColumn colId="0" hiddenButton="1"/>
    <filterColumn colId="1" hiddenButton="1"/>
    <filterColumn colId="2" hiddenButton="1"/>
    <filterColumn colId="3" hiddenButton="1"/>
  </autoFilter>
  <tableColumns count="4">
    <tableColumn id="1" xr3:uid="{A9945B2E-085C-457F-AD55-C0CE73D4F17F}" name="Type"/>
    <tableColumn id="4" xr3:uid="{3EBF4A96-8099-4C56-BB21-F3CC50040D67}" name="StyleName"/>
    <tableColumn id="2" xr3:uid="{39439C71-C568-4E8B-A9DF-8CD70FA854C9}" name="HeadStyle"/>
    <tableColumn id="3" xr3:uid="{26811788-858B-4FD0-AEA5-1D41BA1AD13B}" name="CellStyle"/>
  </tableColumns>
  <tableStyleInfo name="InternalTable" showFirstColumn="1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A1C4C83-FDEC-4612-970C-44E01FA53B95}" name="CmdTable" displayName="CmdTable" ref="A2:R20" totalsRowShown="0" headerRowDxfId="10" tableBorderDxfId="9">
  <autoFilter ref="A2:R20" xr:uid="{DA1C4C83-FDEC-4612-970C-44E01FA53B9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</autoFilter>
  <tableColumns count="18">
    <tableColumn id="1" xr3:uid="{2155C7C3-8990-4CFE-8C20-5AD0AEC9380F}" name="Command" dataDxfId="3">
      <calculatedColumnFormula>CmdTable[[#This Row],[Column12]]</calculatedColumnFormula>
    </tableColumn>
    <tableColumn id="2" xr3:uid="{92F3B901-784E-4428-B4BB-DA7630832753}" name="IsEscaped"/>
    <tableColumn id="3" xr3:uid="{4D2F19B8-ED90-4351-A005-95D3471F3BF5}" name="IsShifted"/>
    <tableColumn id="4" xr3:uid="{BADF7DD6-66F1-4A6D-9C46-1874DD89F722}" name="ReqMode"/>
    <tableColumn id="5" xr3:uid="{141D0C5C-63E2-420E-988A-50CE40F33731}" name="Type"/>
    <tableColumn id="6" xr3:uid="{04E890B2-BC7E-45FD-87E8-B94D429D15C0}" name="Letter"/>
    <tableColumn id="17" xr3:uid="{34A5A120-541F-46FB-9BE8-CD0E2DACA14D}" name="ForceField1"/>
    <tableColumn id="7" xr3:uid="{A19970DA-A79B-489B-87A8-439D1942E132}" name="FieldsMin"/>
    <tableColumn id="9" xr3:uid="{50E62CDA-3D61-48B3-A429-BAAF9662061B}" name="FieldsMax" dataCellStyle="IntCell"/>
    <tableColumn id="8" xr3:uid="{A7048C94-DBBE-4D70-BFB5-9CDA5F6F73CC}" name="FieldFmt" dataDxfId="5" dataCellStyle="LkpCell"/>
    <tableColumn id="10" xr3:uid="{226FCDD6-F185-45D5-8A64-E070E8ACD228}" name="Column10" dataDxfId="4" dataCellStyle="CalcCell">
      <calculatedColumnFormula>SUBSTITUTE(CmdTable[[#This Row],[FieldFmt]], "%L", CmdTable[[#This Row],[Letter]])</calculatedColumnFormula>
    </tableColumn>
    <tableColumn id="11" xr3:uid="{DAB4009D-0062-4F16-8239-20AA5E686D14}" name="Column11" dataDxfId="2" dataCellStyle="CalcCell">
      <calculatedColumnFormula>SUBSTITUTE(CmdTable[[#This Row],[Column10]], "%V", "XX", 1)</calculatedColumnFormula>
    </tableColumn>
    <tableColumn id="18" xr3:uid="{F330EF6F-21EA-485E-9673-FB970150DB96}" name="Column112" dataDxfId="1" dataCellStyle="CalcCell">
      <calculatedColumnFormula>SUBSTITUTE(CmdTable[[#This Row],[Column11]], "%V", "YY", 1)</calculatedColumnFormula>
    </tableColumn>
    <tableColumn id="12" xr3:uid="{00506DBE-D42C-4C56-B46E-9C10939BA99A}" name="Column12" dataDxfId="0" dataCellStyle="CalcCell">
      <calculatedColumnFormula>SUBSTITUTE(CmdTable[[#This Row],[Column112]], "%F", CmdTable[[#This Row],[ForceField1]])</calculatedColumnFormula>
    </tableColumn>
    <tableColumn id="13" xr3:uid="{D246E13B-9541-47EA-AE40-7BD821163CE7}" name="Column13" dataCellStyle="CalcCell"/>
    <tableColumn id="14" xr3:uid="{D5DB0C69-50C0-43DD-BA37-DDA99BEB22E2}" name="Column14" dataCellStyle="CalcCell"/>
    <tableColumn id="15" xr3:uid="{08797234-2596-4B08-877F-7C83FEC0E59D}" name="EscHelper" dataDxfId="8" dataCellStyle="CalcCell">
      <calculatedColumnFormula>IF(CmdTable[[#This Row],[IsEscaped]], "&lt;ESC&gt;", "")</calculatedColumnFormula>
    </tableColumn>
    <tableColumn id="16" xr3:uid="{714E01D9-99A0-4826-9257-D4B22CAA4110}" name="ShiftHelper" dataDxfId="7" dataCellStyle="CalcCell">
      <calculatedColumnFormula>IF(CmdTable[[#This Row],[IsShifted]], "&lt;SI&gt;", "")</calculatedColumnFormula>
    </tableColumn>
  </tableColumns>
  <tableStyleInfo name="InternalTable" showFirstColumn="1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0C21BDC-485F-4D7B-BBB0-5237EF468428}" name="FieldFmtTable" displayName="FieldFmtTable" ref="T2:U10" totalsRowShown="0">
  <autoFilter ref="T2:U10" xr:uid="{50C21BDC-485F-4D7B-BBB0-5237EF468428}">
    <filterColumn colId="0" hiddenButton="1"/>
    <filterColumn colId="1" hiddenButton="1"/>
  </autoFilter>
  <tableColumns count="2">
    <tableColumn id="1" xr3:uid="{5407ECF3-1BCD-49F2-873E-2A029EA7ADB4}" name="Fields" dataDxfId="6"/>
    <tableColumn id="2" xr3:uid="{501653CB-5C66-4A2E-926B-D8E9A335D4C3}" name="Fmt"/>
  </tableColumns>
  <tableStyleInfo name="InternalTable" showFirstColumn="0" showLastColumn="0" showRowStripes="1" showColumnStripes="0"/>
</table>
</file>

<file path=xl/theme/theme1.xml><?xml version="1.0" encoding="utf-8"?>
<a:theme xmlns:a="http://schemas.openxmlformats.org/drawingml/2006/main" name="Template">
  <a:themeElements>
    <a:clrScheme name="CI Current">
      <a:dk1>
        <a:srgbClr val="000000"/>
      </a:dk1>
      <a:lt1>
        <a:srgbClr val="7F7F7F"/>
      </a:lt1>
      <a:dk2>
        <a:srgbClr val="3F3F3F"/>
      </a:dk2>
      <a:lt2>
        <a:srgbClr val="FFFFFF"/>
      </a:lt2>
      <a:accent1>
        <a:srgbClr val="4164F9"/>
      </a:accent1>
      <a:accent2>
        <a:srgbClr val="FFFF00"/>
      </a:accent2>
      <a:accent3>
        <a:srgbClr val="FB0000"/>
      </a:accent3>
      <a:accent4>
        <a:srgbClr val="14F0EB"/>
      </a:accent4>
      <a:accent5>
        <a:srgbClr val="03D70D"/>
      </a:accent5>
      <a:accent6>
        <a:srgbClr val="AB73D5"/>
      </a:accent6>
      <a:hlink>
        <a:srgbClr val="E3D0F1"/>
      </a:hlink>
      <a:folHlink>
        <a:srgbClr val="AB73D5"/>
      </a:folHlink>
    </a:clrScheme>
    <a:fontScheme name="Bahn">
      <a:majorFont>
        <a:latin typeface="Bahnschrift"/>
        <a:ea typeface=""/>
        <a:cs typeface=""/>
      </a:majorFont>
      <a:minorFont>
        <a:latin typeface="Bahnschrif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12" Type="http://schemas.openxmlformats.org/officeDocument/2006/relationships/table" Target="../tables/table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table" Target="../tables/table5.xml"/><Relationship Id="rId5" Type="http://schemas.openxmlformats.org/officeDocument/2006/relationships/image" Target="../media/image1.emf"/><Relationship Id="rId10" Type="http://schemas.openxmlformats.org/officeDocument/2006/relationships/table" Target="../tables/table4.xml"/><Relationship Id="rId4" Type="http://schemas.openxmlformats.org/officeDocument/2006/relationships/control" Target="../activeX/activeX1.xml"/><Relationship Id="rId9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98417-75F8-4ABE-BE6D-EED8E1849BA2}">
  <sheetPr codeName="KeySheet">
    <tabColor theme="8" tint="-0.249977111117893"/>
  </sheetPr>
  <dimension ref="A1:AN83"/>
  <sheetViews>
    <sheetView zoomScaleNormal="100" workbookViewId="0">
      <selection activeCell="S13" sqref="S13"/>
    </sheetView>
  </sheetViews>
  <sheetFormatPr defaultRowHeight="14.25" customHeight="1" x14ac:dyDescent="0.2"/>
  <cols>
    <col min="1" max="1" width="20.44140625" style="1" bestFit="1" customWidth="1"/>
    <col min="2" max="2" width="9.44140625" style="1" bestFit="1" customWidth="1"/>
    <col min="3" max="3" width="5.109375" style="1" bestFit="1" customWidth="1"/>
    <col min="4" max="4" width="6.5546875" style="1" bestFit="1" customWidth="1"/>
    <col min="5" max="5" width="24.77734375" style="1" bestFit="1" customWidth="1"/>
    <col min="6" max="6" width="21.33203125" style="1" bestFit="1" customWidth="1"/>
    <col min="7" max="7" width="7" style="1" bestFit="1" customWidth="1"/>
    <col min="8" max="8" width="13.44140625" style="1" bestFit="1" customWidth="1"/>
    <col min="9" max="9" width="3.33203125" style="1" bestFit="1" customWidth="1"/>
    <col min="10" max="10" width="4.77734375" style="1" bestFit="1" customWidth="1"/>
    <col min="11" max="11" width="3.44140625" style="1" bestFit="1" customWidth="1"/>
    <col min="12" max="12" width="4.109375" style="1" bestFit="1" customWidth="1"/>
    <col min="13" max="13" width="3.88671875" style="1" bestFit="1" customWidth="1"/>
    <col min="14" max="14" width="4" style="1" bestFit="1" customWidth="1"/>
    <col min="15" max="17" width="5.21875" style="1" bestFit="1" customWidth="1"/>
    <col min="18" max="18" width="3.6640625" style="1" customWidth="1"/>
    <col min="19" max="19" width="6" style="1" bestFit="1" customWidth="1"/>
    <col min="20" max="20" width="3.6640625" style="1" bestFit="1" customWidth="1"/>
    <col min="21" max="21" width="3.6640625" style="1" customWidth="1"/>
    <col min="22" max="22" width="7.33203125" style="1" bestFit="1" customWidth="1"/>
    <col min="23" max="23" width="7.21875" style="1" bestFit="1" customWidth="1"/>
    <col min="24" max="24" width="4.6640625" style="1" bestFit="1" customWidth="1"/>
    <col min="25" max="26" width="11.6640625" style="1" customWidth="1"/>
    <col min="27" max="28" width="9.5546875" style="1" bestFit="1" customWidth="1"/>
    <col min="29" max="29" width="15.109375" style="1" bestFit="1" customWidth="1"/>
    <col min="30" max="30" width="13.44140625" style="1" bestFit="1" customWidth="1"/>
    <col min="31" max="31" width="3.6640625" style="1" customWidth="1"/>
    <col min="32" max="32" width="8.6640625" style="1" bestFit="1" customWidth="1"/>
    <col min="33" max="33" width="12.5546875" style="1" bestFit="1" customWidth="1"/>
    <col min="34" max="34" width="8.44140625" style="1" bestFit="1" customWidth="1"/>
    <col min="35" max="35" width="7.44140625" style="1" bestFit="1" customWidth="1"/>
    <col min="36" max="36" width="8.88671875" style="1"/>
    <col min="37" max="37" width="12.5546875" style="1" bestFit="1" customWidth="1"/>
    <col min="38" max="38" width="15.77734375" style="1" bestFit="1" customWidth="1"/>
    <col min="39" max="39" width="20.21875" style="1" bestFit="1" customWidth="1"/>
    <col min="40" max="40" width="23.77734375" style="1" bestFit="1" customWidth="1"/>
    <col min="41" max="16384" width="8.88671875" style="1"/>
  </cols>
  <sheetData>
    <row r="1" spans="1:40" ht="19.5" x14ac:dyDescent="0.2">
      <c r="A1" s="180" t="s">
        <v>195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2"/>
      <c r="S1" s="180" t="s">
        <v>0</v>
      </c>
      <c r="T1" s="181"/>
      <c r="V1" s="183" t="s">
        <v>1</v>
      </c>
      <c r="W1" s="184"/>
      <c r="X1" s="184"/>
      <c r="Y1" s="185"/>
      <c r="Z1" s="185"/>
      <c r="AA1" s="175" t="s">
        <v>194</v>
      </c>
      <c r="AB1" s="176"/>
      <c r="AC1" s="176"/>
      <c r="AD1" s="177"/>
      <c r="AF1" s="178" t="s">
        <v>2</v>
      </c>
      <c r="AG1" s="178"/>
      <c r="AH1" s="178"/>
      <c r="AI1" s="178"/>
      <c r="AK1" s="179" t="s">
        <v>180</v>
      </c>
      <c r="AL1" s="179"/>
      <c r="AM1" s="179"/>
      <c r="AN1" s="179"/>
    </row>
    <row r="2" spans="1:40" ht="15" x14ac:dyDescent="0.25">
      <c r="A2" t="s">
        <v>3</v>
      </c>
      <c r="B2" t="s">
        <v>4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  <c r="J2" t="s">
        <v>12</v>
      </c>
      <c r="K2" t="s">
        <v>13</v>
      </c>
      <c r="L2" t="s">
        <v>14</v>
      </c>
      <c r="M2" t="s">
        <v>15</v>
      </c>
      <c r="N2" t="s">
        <v>16</v>
      </c>
      <c r="O2" t="s">
        <v>17</v>
      </c>
      <c r="P2" t="s">
        <v>18</v>
      </c>
      <c r="Q2" t="s">
        <v>19</v>
      </c>
      <c r="S2" t="s">
        <v>20</v>
      </c>
      <c r="T2" t="s">
        <v>21</v>
      </c>
      <c r="V2" t="s">
        <v>22</v>
      </c>
      <c r="W2" t="s">
        <v>23</v>
      </c>
      <c r="X2" t="s">
        <v>24</v>
      </c>
      <c r="Y2" s="185"/>
      <c r="Z2" s="186"/>
      <c r="AA2" t="s">
        <v>25</v>
      </c>
      <c r="AB2" t="s">
        <v>26</v>
      </c>
      <c r="AC2" t="s">
        <v>27</v>
      </c>
      <c r="AD2" t="s">
        <v>28</v>
      </c>
      <c r="AF2" t="s">
        <v>6</v>
      </c>
      <c r="AG2" t="s">
        <v>4</v>
      </c>
      <c r="AH2" t="s">
        <v>29</v>
      </c>
      <c r="AI2" t="s">
        <v>30</v>
      </c>
      <c r="AK2" s="88" t="s">
        <v>172</v>
      </c>
      <c r="AL2" s="102" t="s">
        <v>181</v>
      </c>
      <c r="AM2" s="89" t="s">
        <v>182</v>
      </c>
      <c r="AN2" s="90" t="s">
        <v>183</v>
      </c>
    </row>
    <row r="3" spans="1:40" ht="15" x14ac:dyDescent="0.25">
      <c r="A3" s="4" t="s">
        <v>31</v>
      </c>
      <c r="B3" s="107" t="str">
        <f>KeyTable[[#This Row],[Class]]&amp;KeyTable[[#This Row],[Type]]</f>
        <v>CalcHdKey</v>
      </c>
      <c r="C3" s="1" t="s">
        <v>32</v>
      </c>
      <c r="D3" s="1" t="s">
        <v>33</v>
      </c>
      <c r="E3" s="1" t="s">
        <v>34</v>
      </c>
      <c r="F3" s="1" t="s">
        <v>35</v>
      </c>
      <c r="G3" s="3" t="b">
        <v>1</v>
      </c>
      <c r="H3" s="3" t="s">
        <v>36</v>
      </c>
      <c r="I3" s="152" t="s">
        <v>37</v>
      </c>
      <c r="J3" s="153" t="s">
        <v>38</v>
      </c>
      <c r="K3" s="153"/>
      <c r="L3" s="152"/>
      <c r="M3" s="153"/>
      <c r="N3" s="154"/>
      <c r="O3" s="5" t="str" cm="1">
        <f t="array" ref="O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P3" s="6" t="str" cm="1">
        <f t="array" ref="P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Q3" s="7" t="str" cm="1">
        <f t="array" ref="Q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S3" s="3" t="b">
        <v>1</v>
      </c>
      <c r="T3" s="3" t="s">
        <v>39</v>
      </c>
      <c r="V3" s="3">
        <v>16</v>
      </c>
      <c r="W3" s="3">
        <v>11</v>
      </c>
      <c r="X3" s="3">
        <v>11</v>
      </c>
      <c r="Y3" s="185"/>
      <c r="Z3" s="186"/>
      <c r="AA3" s="1" t="s">
        <v>36</v>
      </c>
      <c r="AB3" s="8" t="s">
        <v>36</v>
      </c>
      <c r="AC3" s="9" t="s">
        <v>40</v>
      </c>
      <c r="AD3" s="10" t="s">
        <v>41</v>
      </c>
      <c r="AF3" s="1" t="s">
        <v>42</v>
      </c>
      <c r="AG3" s="1" t="s">
        <v>43</v>
      </c>
      <c r="AH3" s="1" t="s">
        <v>44</v>
      </c>
      <c r="AI3" s="1" t="s">
        <v>45</v>
      </c>
      <c r="AK3" s="91" t="s">
        <v>184</v>
      </c>
      <c r="AL3" s="103" t="s">
        <v>185</v>
      </c>
      <c r="AM3" s="92" t="s">
        <v>186</v>
      </c>
      <c r="AN3" s="93" t="s">
        <v>187</v>
      </c>
    </row>
    <row r="4" spans="1:40" ht="15" x14ac:dyDescent="0.25">
      <c r="A4" s="11" t="s">
        <v>46</v>
      </c>
      <c r="B4" s="108" t="str">
        <f>KeyTable[[#This Row],[Class]]&amp;KeyTable[[#This Row],[Type]]</f>
        <v>CalcHd</v>
      </c>
      <c r="C4" s="1" t="s">
        <v>32</v>
      </c>
      <c r="D4" s="1" t="s">
        <v>47</v>
      </c>
      <c r="E4" s="1" t="s">
        <v>34</v>
      </c>
      <c r="F4" s="1" t="s">
        <v>35</v>
      </c>
      <c r="G4" s="3" t="b">
        <v>1</v>
      </c>
      <c r="H4" s="3" t="s">
        <v>36</v>
      </c>
      <c r="I4" s="152" t="s">
        <v>37</v>
      </c>
      <c r="J4" s="153" t="s">
        <v>48</v>
      </c>
      <c r="K4" s="153"/>
      <c r="L4" s="152" t="s">
        <v>49</v>
      </c>
      <c r="M4" s="153"/>
      <c r="N4" s="154"/>
      <c r="O4" s="5" t="str" cm="1">
        <f t="array" ref="O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T1L35</v>
      </c>
      <c r="P4" s="6" t="str" cm="1">
        <f t="array" ref="P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Q4" s="12" t="str" cm="1">
        <f t="array" ref="Q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S4" s="3" t="b">
        <v>0</v>
      </c>
      <c r="T4" s="3" t="s">
        <v>50</v>
      </c>
      <c r="AF4" s="1" t="s">
        <v>51</v>
      </c>
      <c r="AG4" s="1" t="s">
        <v>52</v>
      </c>
      <c r="AH4" s="1" t="s">
        <v>53</v>
      </c>
      <c r="AI4" s="1" t="s">
        <v>54</v>
      </c>
      <c r="AK4" s="91" t="s">
        <v>188</v>
      </c>
      <c r="AL4" s="104" t="s">
        <v>189</v>
      </c>
      <c r="AM4" s="94" t="s">
        <v>190</v>
      </c>
      <c r="AN4" s="95" t="s">
        <v>191</v>
      </c>
    </row>
    <row r="5" spans="1:40" ht="15" x14ac:dyDescent="0.25">
      <c r="A5" s="13" t="s">
        <v>55</v>
      </c>
      <c r="B5" s="109" t="str">
        <f>KeyTable[[#This Row],[Class]]&amp;KeyTable[[#This Row],[Type]]</f>
        <v>CalcKey</v>
      </c>
      <c r="C5" s="1" t="s">
        <v>32</v>
      </c>
      <c r="D5" s="1" t="s">
        <v>56</v>
      </c>
      <c r="E5" s="1" t="s">
        <v>57</v>
      </c>
      <c r="G5" s="3" t="b">
        <v>1</v>
      </c>
      <c r="H5" s="3" t="s">
        <v>36</v>
      </c>
      <c r="I5" s="152" t="s">
        <v>38</v>
      </c>
      <c r="J5" s="153" t="s">
        <v>58</v>
      </c>
      <c r="K5" s="153"/>
      <c r="L5" s="152" t="s">
        <v>59</v>
      </c>
      <c r="M5" s="153"/>
      <c r="N5" s="154"/>
      <c r="O5" s="5" t="str" cm="1">
        <f t="array" ref="O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B2D25</v>
      </c>
      <c r="P5" s="6" t="str" cm="1">
        <f t="array" ref="P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Q5" s="12" t="str" cm="1">
        <f t="array" ref="Q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AF5" s="1" t="s">
        <v>60</v>
      </c>
      <c r="AG5" s="1" t="s">
        <v>61</v>
      </c>
      <c r="AH5" s="1" t="s">
        <v>62</v>
      </c>
      <c r="AI5" s="1" t="s">
        <v>63</v>
      </c>
      <c r="AK5" s="96" t="s">
        <v>192</v>
      </c>
      <c r="AL5" s="105" t="s">
        <v>192</v>
      </c>
      <c r="AM5" s="97" t="s">
        <v>192</v>
      </c>
      <c r="AN5" s="98" t="s">
        <v>193</v>
      </c>
    </row>
    <row r="6" spans="1:40" ht="15" x14ac:dyDescent="0.25">
      <c r="A6" s="12" t="s">
        <v>64</v>
      </c>
      <c r="B6" s="110" t="str">
        <f>KeyTable[[#This Row],[Class]]&amp;KeyTable[[#This Row],[Type]]</f>
        <v>CalcVal</v>
      </c>
      <c r="C6" s="1" t="s">
        <v>32</v>
      </c>
      <c r="D6" s="1" t="s">
        <v>65</v>
      </c>
      <c r="E6" s="1" t="s">
        <v>57</v>
      </c>
      <c r="F6" s="1" t="s">
        <v>178</v>
      </c>
      <c r="G6" s="3" t="b">
        <v>1</v>
      </c>
      <c r="H6" s="99" t="s">
        <v>40</v>
      </c>
      <c r="I6" s="152" t="s">
        <v>38</v>
      </c>
      <c r="J6" s="153" t="s">
        <v>58</v>
      </c>
      <c r="K6" s="153"/>
      <c r="L6" s="152" t="s">
        <v>66</v>
      </c>
      <c r="M6" s="153"/>
      <c r="N6" s="154"/>
      <c r="O6" s="5" t="str" cm="1">
        <f t="array" ref="O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B2D15</v>
      </c>
      <c r="P6" s="6" t="str" cm="1">
        <f t="array" ref="P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Q6" s="12" t="str" cm="1">
        <f t="array" ref="Q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S6" s="3"/>
      <c r="AF6" s="1" t="s">
        <v>67</v>
      </c>
      <c r="AG6" s="1" t="s">
        <v>68</v>
      </c>
      <c r="AH6" s="1" t="s">
        <v>69</v>
      </c>
      <c r="AI6" s="1" t="s">
        <v>70</v>
      </c>
    </row>
    <row r="7" spans="1:40" ht="15.75" thickBot="1" x14ac:dyDescent="0.3">
      <c r="A7" s="14" t="s">
        <v>71</v>
      </c>
      <c r="B7" s="111" t="str">
        <f>KeyTable[[#This Row],[Class]]&amp;KeyTable[[#This Row],[Type]]</f>
        <v>CalcCell</v>
      </c>
      <c r="C7" s="1" t="s">
        <v>32</v>
      </c>
      <c r="D7" s="1" t="s">
        <v>72</v>
      </c>
      <c r="E7" s="15" t="s">
        <v>57</v>
      </c>
      <c r="F7" s="15"/>
      <c r="G7" s="16" t="b">
        <v>1</v>
      </c>
      <c r="H7" s="16" t="s">
        <v>36</v>
      </c>
      <c r="I7" s="155" t="s">
        <v>38</v>
      </c>
      <c r="J7" s="156" t="s">
        <v>58</v>
      </c>
      <c r="K7" s="156"/>
      <c r="L7" s="155" t="s">
        <v>73</v>
      </c>
      <c r="M7" s="156"/>
      <c r="N7" s="157"/>
      <c r="O7" s="17" t="str" cm="1">
        <f t="array" ref="O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B2D5</v>
      </c>
      <c r="P7" s="18" t="str" cm="1">
        <f t="array" ref="P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Q7" s="19" t="str" cm="1">
        <f t="array" ref="Q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AF7" s="1" t="s">
        <v>74</v>
      </c>
      <c r="AG7" s="1" t="s">
        <v>75</v>
      </c>
      <c r="AH7" s="1" t="s">
        <v>76</v>
      </c>
      <c r="AI7" s="1" t="s">
        <v>77</v>
      </c>
    </row>
    <row r="8" spans="1:40" ht="15" x14ac:dyDescent="0.25">
      <c r="A8" s="20" t="s">
        <v>78</v>
      </c>
      <c r="B8" s="112" t="str">
        <f>KeyTable[[#This Row],[Class]]&amp;KeyTable[[#This Row],[Type]]</f>
        <v>DeacHdKey</v>
      </c>
      <c r="C8" s="1" t="s">
        <v>79</v>
      </c>
      <c r="D8" s="1" t="s">
        <v>33</v>
      </c>
      <c r="E8" s="1" t="s">
        <v>34</v>
      </c>
      <c r="F8" s="1" t="s">
        <v>80</v>
      </c>
      <c r="G8" s="3" t="b">
        <v>1</v>
      </c>
      <c r="H8" s="3" t="s">
        <v>36</v>
      </c>
      <c r="I8" s="152" t="s">
        <v>37</v>
      </c>
      <c r="J8" s="153" t="s">
        <v>38</v>
      </c>
      <c r="K8" s="153" t="s">
        <v>38</v>
      </c>
      <c r="L8" s="158"/>
      <c r="M8" s="159" t="s">
        <v>59</v>
      </c>
      <c r="N8" s="160" t="s">
        <v>81</v>
      </c>
      <c r="O8" s="21" t="str" cm="1">
        <f t="array" ref="O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P8" s="22" t="str" cm="1">
        <f t="array" ref="P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Q8" s="23" t="str" cm="1">
        <f t="array" ref="Q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T2</v>
      </c>
      <c r="AF8" s="1" t="s">
        <v>82</v>
      </c>
      <c r="AG8" s="1" t="s">
        <v>83</v>
      </c>
      <c r="AH8" s="1" t="s">
        <v>84</v>
      </c>
      <c r="AI8" s="1" t="s">
        <v>85</v>
      </c>
    </row>
    <row r="9" spans="1:40" ht="15" x14ac:dyDescent="0.25">
      <c r="A9" s="24" t="s">
        <v>86</v>
      </c>
      <c r="B9" s="113" t="str">
        <f>KeyTable[[#This Row],[Class]]&amp;KeyTable[[#This Row],[Type]]</f>
        <v>DeacHd</v>
      </c>
      <c r="C9" s="1" t="s">
        <v>79</v>
      </c>
      <c r="D9" s="1" t="s">
        <v>47</v>
      </c>
      <c r="E9" s="1" t="s">
        <v>34</v>
      </c>
      <c r="F9" s="1" t="s">
        <v>35</v>
      </c>
      <c r="G9" s="3" t="b">
        <v>1</v>
      </c>
      <c r="H9" s="3" t="s">
        <v>36</v>
      </c>
      <c r="I9" s="152" t="s">
        <v>48</v>
      </c>
      <c r="J9" s="153" t="s">
        <v>48</v>
      </c>
      <c r="K9" s="153"/>
      <c r="L9" s="152"/>
      <c r="M9" s="153" t="s">
        <v>87</v>
      </c>
      <c r="N9" s="154"/>
      <c r="O9" s="5" t="str" cm="1">
        <f t="array" ref="O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T1D25</v>
      </c>
      <c r="P9" s="6" t="str" cm="1">
        <f t="array" ref="P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T1L50</v>
      </c>
      <c r="Q9" s="6" t="str" cm="1">
        <f t="array" ref="Q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AF9" s="1" t="s">
        <v>88</v>
      </c>
      <c r="AG9" s="1" t="s">
        <v>89</v>
      </c>
      <c r="AH9" s="1" t="s">
        <v>90</v>
      </c>
      <c r="AI9" s="1" t="s">
        <v>91</v>
      </c>
    </row>
    <row r="10" spans="1:40" ht="15" x14ac:dyDescent="0.25">
      <c r="A10" s="25" t="s">
        <v>92</v>
      </c>
      <c r="B10" s="114" t="str">
        <f>KeyTable[[#This Row],[Class]]&amp;KeyTable[[#This Row],[Type]]</f>
        <v>DeacCell</v>
      </c>
      <c r="C10" s="1" t="s">
        <v>79</v>
      </c>
      <c r="D10" s="1" t="s">
        <v>72</v>
      </c>
      <c r="E10" s="1" t="s">
        <v>93</v>
      </c>
      <c r="G10" s="3" t="b">
        <v>1</v>
      </c>
      <c r="H10" s="3" t="s">
        <v>36</v>
      </c>
      <c r="I10" s="152" t="s">
        <v>37</v>
      </c>
      <c r="J10" s="153" t="s">
        <v>37</v>
      </c>
      <c r="K10" s="153"/>
      <c r="L10" s="152" t="s">
        <v>81</v>
      </c>
      <c r="M10" s="153" t="s">
        <v>59</v>
      </c>
      <c r="N10" s="154"/>
      <c r="O10" s="5" t="str" cm="1">
        <f t="array" ref="O1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P10" s="6" t="str" cm="1">
        <f t="array" ref="P1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Q10" s="6" t="str" cm="1">
        <f t="array" ref="Q1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1" spans="1:40" ht="15.75" thickBot="1" x14ac:dyDescent="0.3">
      <c r="A11" s="26" t="s">
        <v>94</v>
      </c>
      <c r="B11" s="115" t="str">
        <f>KeyTable[[#This Row],[Class]]&amp;KeyTable[[#This Row],[Type]]</f>
        <v>ActDeac</v>
      </c>
      <c r="C11" s="1" t="s">
        <v>95</v>
      </c>
      <c r="D11" s="1" t="s">
        <v>79</v>
      </c>
      <c r="E11" s="15" t="s">
        <v>93</v>
      </c>
      <c r="F11" s="15" t="s">
        <v>96</v>
      </c>
      <c r="G11" s="16" t="b">
        <v>1</v>
      </c>
      <c r="H11" s="16" t="s">
        <v>36</v>
      </c>
      <c r="I11" s="155" t="s">
        <v>37</v>
      </c>
      <c r="J11" s="156" t="s">
        <v>37</v>
      </c>
      <c r="K11" s="156" t="s">
        <v>48</v>
      </c>
      <c r="L11" s="155"/>
      <c r="M11" s="156"/>
      <c r="N11" s="157" t="s">
        <v>49</v>
      </c>
      <c r="O11" s="17" t="str" cm="1">
        <f t="array" ref="O1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P11" s="18" t="str" cm="1">
        <f t="array" ref="P1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B1D50</v>
      </c>
      <c r="Q11" s="18" t="str" cm="1">
        <f t="array" ref="Q1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T1L35</v>
      </c>
    </row>
    <row r="12" spans="1:40" ht="15" x14ac:dyDescent="0.25">
      <c r="A12" s="27" t="s">
        <v>97</v>
      </c>
      <c r="B12" s="116" t="str">
        <f>KeyTable[[#This Row],[Class]]&amp;KeyTable[[#This Row],[Type]]</f>
        <v>BoxTitle</v>
      </c>
      <c r="C12" s="1" t="s">
        <v>82</v>
      </c>
      <c r="D12" s="1" t="s">
        <v>98</v>
      </c>
      <c r="E12" s="1" t="s">
        <v>99</v>
      </c>
      <c r="F12" s="28" t="s">
        <v>100</v>
      </c>
      <c r="G12" s="29" t="b">
        <v>1</v>
      </c>
      <c r="H12" s="29" t="s">
        <v>36</v>
      </c>
      <c r="I12" s="152" t="s">
        <v>101</v>
      </c>
      <c r="J12" s="153" t="s">
        <v>101</v>
      </c>
      <c r="K12" s="153"/>
      <c r="L12" s="158" t="s">
        <v>102</v>
      </c>
      <c r="M12" s="159"/>
      <c r="N12" s="160"/>
      <c r="O12" s="21" t="str" cm="1">
        <f t="array" ref="O1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P12" s="22" t="str" cm="1">
        <f t="array" ref="P1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Q12" s="22" t="str" cm="1">
        <f t="array" ref="Q1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3" spans="1:40" ht="15" x14ac:dyDescent="0.25">
      <c r="A13" s="30" t="s">
        <v>103</v>
      </c>
      <c r="B13" s="117" t="str">
        <f>KeyTable[[#This Row],[Class]]&amp;KeyTable[[#This Row],[Type]]</f>
        <v>BoxHdKey</v>
      </c>
      <c r="C13" s="1" t="s">
        <v>82</v>
      </c>
      <c r="D13" s="1" t="s">
        <v>33</v>
      </c>
      <c r="E13" s="1" t="s">
        <v>99</v>
      </c>
      <c r="F13" s="28" t="s">
        <v>104</v>
      </c>
      <c r="G13" s="29" t="b">
        <v>1</v>
      </c>
      <c r="H13" s="29" t="s">
        <v>36</v>
      </c>
      <c r="I13" s="152" t="s">
        <v>101</v>
      </c>
      <c r="J13" s="153" t="s">
        <v>101</v>
      </c>
      <c r="K13" s="153"/>
      <c r="L13" s="152"/>
      <c r="M13" s="153"/>
      <c r="N13" s="154"/>
      <c r="O13" s="5" t="str" cm="1">
        <f t="array" ref="O1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P13" s="6" t="str" cm="1">
        <f t="array" ref="P1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Q13" s="12" t="str" cm="1">
        <f t="array" ref="Q1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4" spans="1:40" ht="15" x14ac:dyDescent="0.25">
      <c r="A14" s="31" t="s">
        <v>105</v>
      </c>
      <c r="B14" s="118" t="str">
        <f>KeyTable[[#This Row],[Class]]&amp;KeyTable[[#This Row],[Type]]</f>
        <v>BoxHd</v>
      </c>
      <c r="C14" s="1" t="s">
        <v>82</v>
      </c>
      <c r="D14" s="1" t="s">
        <v>47</v>
      </c>
      <c r="E14" s="1" t="s">
        <v>99</v>
      </c>
      <c r="F14" s="28" t="s">
        <v>104</v>
      </c>
      <c r="G14" s="29" t="b">
        <v>1</v>
      </c>
      <c r="H14" s="29" t="s">
        <v>36</v>
      </c>
      <c r="I14" s="152" t="s">
        <v>101</v>
      </c>
      <c r="J14" s="153" t="s">
        <v>101</v>
      </c>
      <c r="K14" s="153"/>
      <c r="L14" s="152"/>
      <c r="M14" s="153"/>
      <c r="N14" s="154"/>
      <c r="O14" s="5" t="str" cm="1">
        <f t="array" ref="O1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A1D25</v>
      </c>
      <c r="P14" s="6" t="str" cm="1">
        <f t="array" ref="P1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Q14" s="12" t="str" cm="1">
        <f t="array" ref="Q1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5" spans="1:40" ht="15" x14ac:dyDescent="0.25">
      <c r="A15" s="32" t="s">
        <v>106</v>
      </c>
      <c r="B15" s="119" t="str">
        <f>KeyTable[[#This Row],[Class]]&amp;KeyTable[[#This Row],[Type]]</f>
        <v>BoxKey</v>
      </c>
      <c r="C15" s="1" t="s">
        <v>82</v>
      </c>
      <c r="D15" s="1" t="s">
        <v>56</v>
      </c>
      <c r="E15" s="33" t="s">
        <v>107</v>
      </c>
      <c r="F15" s="33" t="s">
        <v>108</v>
      </c>
      <c r="G15" s="34" t="s">
        <v>109</v>
      </c>
      <c r="H15" s="34" t="s">
        <v>36</v>
      </c>
      <c r="I15" s="161" t="s">
        <v>101</v>
      </c>
      <c r="J15" s="162" t="s">
        <v>101</v>
      </c>
      <c r="K15" s="162"/>
      <c r="L15" s="161"/>
      <c r="M15" s="162" t="s">
        <v>102</v>
      </c>
      <c r="N15" s="154"/>
      <c r="O15" s="5" t="str" cm="1">
        <f t="array" ref="O1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A1L40</v>
      </c>
      <c r="P15" s="6" t="str" cm="1">
        <f t="array" ref="P1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Q15" s="12" t="str" cm="1">
        <f t="array" ref="Q1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6" spans="1:40" ht="15" x14ac:dyDescent="0.25">
      <c r="A16" s="35" t="s">
        <v>110</v>
      </c>
      <c r="B16" s="120" t="str">
        <f>KeyTable[[#This Row],[Class]]&amp;KeyTable[[#This Row],[Type]]</f>
        <v>BoxVal</v>
      </c>
      <c r="C16" s="1" t="s">
        <v>82</v>
      </c>
      <c r="D16" s="1" t="s">
        <v>65</v>
      </c>
      <c r="E16" s="1" t="s">
        <v>99</v>
      </c>
      <c r="F16" s="28" t="s">
        <v>197</v>
      </c>
      <c r="G16" s="29" t="s">
        <v>109</v>
      </c>
      <c r="H16" s="99" t="s">
        <v>40</v>
      </c>
      <c r="I16" s="152" t="s">
        <v>101</v>
      </c>
      <c r="J16" s="153" t="s">
        <v>101</v>
      </c>
      <c r="K16" s="153"/>
      <c r="L16" s="152" t="s">
        <v>111</v>
      </c>
      <c r="M16" s="153" t="s">
        <v>102</v>
      </c>
      <c r="N16" s="154"/>
      <c r="O16" s="5" t="str" cm="1">
        <f t="array" ref="O1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P16" s="6" t="str" cm="1">
        <f t="array" ref="P1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Q16" s="12" t="str" cm="1">
        <f t="array" ref="Q1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7" spans="1:17" ht="15" x14ac:dyDescent="0.25">
      <c r="A17" s="36" t="s">
        <v>112</v>
      </c>
      <c r="B17" s="121" t="str">
        <f>KeyTable[[#This Row],[Class]]&amp;KeyTable[[#This Row],[Type]]</f>
        <v>BoxCell</v>
      </c>
      <c r="C17" s="1" t="s">
        <v>82</v>
      </c>
      <c r="D17" s="1" t="s">
        <v>72</v>
      </c>
      <c r="E17" s="33" t="s">
        <v>107</v>
      </c>
      <c r="F17" s="33" t="s">
        <v>108</v>
      </c>
      <c r="G17" s="34" t="s">
        <v>109</v>
      </c>
      <c r="H17" s="34" t="s">
        <v>36</v>
      </c>
      <c r="I17" s="161" t="s">
        <v>101</v>
      </c>
      <c r="J17" s="162" t="s">
        <v>101</v>
      </c>
      <c r="K17" s="162"/>
      <c r="L17" s="161" t="s">
        <v>113</v>
      </c>
      <c r="M17" s="162" t="s">
        <v>102</v>
      </c>
      <c r="N17" s="154"/>
      <c r="O17" s="5" t="str" cm="1">
        <f t="array" ref="O1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A1L80</v>
      </c>
      <c r="P17" s="6" t="str" cm="1">
        <f t="array" ref="P1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Q17" s="12" t="str" cm="1">
        <f t="array" ref="Q1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8" spans="1:17" ht="15.75" thickBot="1" x14ac:dyDescent="0.3">
      <c r="A18" s="37" t="s">
        <v>114</v>
      </c>
      <c r="B18" s="122" t="str">
        <f>KeyTable[[#This Row],[Class]]&amp;KeyTable[[#This Row],[Type]]</f>
        <v>ActBox</v>
      </c>
      <c r="C18" s="1" t="s">
        <v>95</v>
      </c>
      <c r="D18" s="1" t="s">
        <v>82</v>
      </c>
      <c r="E18" s="38" t="s">
        <v>115</v>
      </c>
      <c r="F18" s="15" t="s">
        <v>116</v>
      </c>
      <c r="G18" s="16" t="s">
        <v>109</v>
      </c>
      <c r="H18" s="16" t="s">
        <v>36</v>
      </c>
      <c r="I18" s="163" t="s">
        <v>101</v>
      </c>
      <c r="J18" s="164" t="s">
        <v>101</v>
      </c>
      <c r="K18" s="164" t="s">
        <v>101</v>
      </c>
      <c r="L18" s="163" t="s">
        <v>111</v>
      </c>
      <c r="M18" s="164"/>
      <c r="N18" s="157"/>
      <c r="O18" s="39" t="str" cm="1">
        <f t="array" ref="O1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P18" s="18" t="str" cm="1">
        <f t="array" ref="P1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Q18" s="19" t="str" cm="1">
        <f t="array" ref="Q1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A1L80</v>
      </c>
    </row>
    <row r="19" spans="1:17" ht="15" x14ac:dyDescent="0.25">
      <c r="A19" s="40" t="s">
        <v>117</v>
      </c>
      <c r="B19" s="123" t="str">
        <f>KeyTable[[#This Row],[Class]]&amp;KeyTable[[#This Row],[Type]]</f>
        <v>InpHdKey</v>
      </c>
      <c r="C19" s="1" t="s">
        <v>118</v>
      </c>
      <c r="D19" s="1" t="s">
        <v>33</v>
      </c>
      <c r="E19" s="1" t="s">
        <v>34</v>
      </c>
      <c r="F19" s="1" t="s">
        <v>35</v>
      </c>
      <c r="G19" s="3" t="b">
        <v>1</v>
      </c>
      <c r="H19" s="3" t="s">
        <v>36</v>
      </c>
      <c r="I19" s="152" t="s">
        <v>119</v>
      </c>
      <c r="J19" s="153" t="s">
        <v>119</v>
      </c>
      <c r="K19" s="153"/>
      <c r="L19" s="152"/>
      <c r="M19" s="153"/>
      <c r="N19" s="154"/>
      <c r="O19" s="21" t="str" cm="1">
        <f t="array" ref="O1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A2D50</v>
      </c>
      <c r="P19" s="22" t="str" cm="1">
        <f t="array" ref="P1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Q19" s="23" t="str" cm="1">
        <f t="array" ref="Q1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0" spans="1:17" ht="15" x14ac:dyDescent="0.25">
      <c r="A20" s="41" t="s">
        <v>120</v>
      </c>
      <c r="B20" s="124" t="str">
        <f>KeyTable[[#This Row],[Class]]&amp;KeyTable[[#This Row],[Type]]</f>
        <v>InpHd</v>
      </c>
      <c r="C20" s="1" t="s">
        <v>118</v>
      </c>
      <c r="D20" s="1" t="s">
        <v>47</v>
      </c>
      <c r="E20" s="1" t="s">
        <v>34</v>
      </c>
      <c r="F20" s="1" t="s">
        <v>35</v>
      </c>
      <c r="G20" s="3" t="b">
        <v>1</v>
      </c>
      <c r="H20" s="3" t="s">
        <v>36</v>
      </c>
      <c r="I20" s="152" t="s">
        <v>119</v>
      </c>
      <c r="J20" s="153" t="s">
        <v>119</v>
      </c>
      <c r="K20" s="153"/>
      <c r="L20" s="152"/>
      <c r="M20" s="153"/>
      <c r="N20" s="154"/>
      <c r="O20" s="5" t="str" cm="1">
        <f t="array" ref="O2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A2D25</v>
      </c>
      <c r="P20" s="6" t="str" cm="1">
        <f t="array" ref="P2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Q20" s="12" t="str" cm="1">
        <f t="array" ref="Q2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1" spans="1:17" ht="15" x14ac:dyDescent="0.25">
      <c r="A21" s="42" t="s">
        <v>121</v>
      </c>
      <c r="B21" s="43" t="str">
        <f>KeyTable[[#This Row],[Class]]&amp;KeyTable[[#This Row],[Type]]</f>
        <v>InpKey</v>
      </c>
      <c r="C21" s="1" t="s">
        <v>118</v>
      </c>
      <c r="D21" s="1" t="s">
        <v>56</v>
      </c>
      <c r="E21" s="1" t="s">
        <v>122</v>
      </c>
      <c r="G21" s="3" t="b">
        <v>0</v>
      </c>
      <c r="H21" s="3" t="s">
        <v>36</v>
      </c>
      <c r="I21" s="152" t="s">
        <v>48</v>
      </c>
      <c r="J21" s="153" t="s">
        <v>119</v>
      </c>
      <c r="K21" s="153"/>
      <c r="L21" s="152"/>
      <c r="M21" s="153"/>
      <c r="N21" s="154"/>
      <c r="O21" s="5" t="str" cm="1">
        <f t="array" ref="O2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A2L40</v>
      </c>
      <c r="P21" s="6" t="str" cm="1">
        <f t="array" ref="P2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1" s="12" t="str" cm="1">
        <f t="array" ref="Q2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2" spans="1:17" ht="15" x14ac:dyDescent="0.25">
      <c r="A22" s="44" t="s">
        <v>123</v>
      </c>
      <c r="B22" s="45" t="str">
        <f>KeyTable[[#This Row],[Class]]&amp;KeyTable[[#This Row],[Type]]</f>
        <v>InpDate</v>
      </c>
      <c r="C22" s="1" t="s">
        <v>118</v>
      </c>
      <c r="D22" s="1" t="s">
        <v>124</v>
      </c>
      <c r="E22" s="1" t="s">
        <v>122</v>
      </c>
      <c r="F22" s="1" t="s">
        <v>196</v>
      </c>
      <c r="G22" s="3" t="b">
        <v>0</v>
      </c>
      <c r="H22" s="99" t="s">
        <v>40</v>
      </c>
      <c r="I22" s="152" t="s">
        <v>48</v>
      </c>
      <c r="J22" s="153" t="s">
        <v>119</v>
      </c>
      <c r="K22" s="153"/>
      <c r="L22" s="152" t="s">
        <v>111</v>
      </c>
      <c r="M22" s="153"/>
      <c r="N22" s="154"/>
      <c r="O22" s="5" t="str" cm="1">
        <f t="array" ref="O2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P22" s="6" t="str" cm="1">
        <f t="array" ref="P2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2" s="12" t="str" cm="1">
        <f t="array" ref="Q2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3" spans="1:17" ht="15" x14ac:dyDescent="0.25">
      <c r="A23" s="46" t="s">
        <v>125</v>
      </c>
      <c r="B23" s="47" t="str">
        <f>KeyTable[[#This Row],[Class]]&amp;KeyTable[[#This Row],[Type]]</f>
        <v>InpVal</v>
      </c>
      <c r="C23" s="1" t="s">
        <v>118</v>
      </c>
      <c r="D23" s="1" t="s">
        <v>65</v>
      </c>
      <c r="E23" s="1" t="s">
        <v>122</v>
      </c>
      <c r="F23" s="1" t="s">
        <v>178</v>
      </c>
      <c r="G23" s="3" t="b">
        <v>0</v>
      </c>
      <c r="H23" s="99" t="s">
        <v>40</v>
      </c>
      <c r="I23" s="152" t="s">
        <v>48</v>
      </c>
      <c r="J23" s="153" t="s">
        <v>119</v>
      </c>
      <c r="K23" s="153"/>
      <c r="L23" s="152" t="s">
        <v>111</v>
      </c>
      <c r="M23" s="153"/>
      <c r="N23" s="154"/>
      <c r="O23" s="5" t="str" cm="1">
        <f t="array" ref="O2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P23" s="6" t="str" cm="1">
        <f t="array" ref="P2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3" s="12" t="str" cm="1">
        <f t="array" ref="Q2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4" spans="1:17" ht="15" x14ac:dyDescent="0.25">
      <c r="A24" s="48" t="s">
        <v>126</v>
      </c>
      <c r="B24" s="49" t="str">
        <f>KeyTable[[#This Row],[Class]]&amp;KeyTable[[#This Row],[Type]]</f>
        <v>InpCell</v>
      </c>
      <c r="C24" s="1" t="s">
        <v>118</v>
      </c>
      <c r="D24" s="1" t="s">
        <v>72</v>
      </c>
      <c r="E24" s="1" t="s">
        <v>122</v>
      </c>
      <c r="G24" s="3" t="b">
        <v>0</v>
      </c>
      <c r="H24" s="3" t="s">
        <v>36</v>
      </c>
      <c r="I24" s="152" t="s">
        <v>48</v>
      </c>
      <c r="J24" s="153" t="s">
        <v>119</v>
      </c>
      <c r="K24" s="153"/>
      <c r="L24" s="152" t="s">
        <v>113</v>
      </c>
      <c r="M24" s="153"/>
      <c r="N24" s="154"/>
      <c r="O24" s="5" t="str" cm="1">
        <f t="array" ref="O2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A2L80</v>
      </c>
      <c r="P24" s="6" t="str" cm="1">
        <f t="array" ref="P2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4" s="12" t="str" cm="1">
        <f t="array" ref="Q2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5" spans="1:17" ht="15.75" thickBot="1" x14ac:dyDescent="0.3">
      <c r="A25" s="50" t="s">
        <v>127</v>
      </c>
      <c r="B25" s="51" t="str">
        <f>KeyTable[[#This Row],[Class]]&amp;KeyTable[[#This Row],[Type]]</f>
        <v>ActMiss</v>
      </c>
      <c r="C25" s="1" t="s">
        <v>95</v>
      </c>
      <c r="D25" s="1" t="s">
        <v>128</v>
      </c>
      <c r="E25" s="15" t="s">
        <v>122</v>
      </c>
      <c r="F25" s="15" t="s">
        <v>96</v>
      </c>
      <c r="G25" s="16" t="b">
        <v>0</v>
      </c>
      <c r="H25" s="16" t="s">
        <v>36</v>
      </c>
      <c r="I25" s="155" t="s">
        <v>119</v>
      </c>
      <c r="J25" s="156" t="s">
        <v>119</v>
      </c>
      <c r="K25" s="156" t="s">
        <v>119</v>
      </c>
      <c r="L25" s="155"/>
      <c r="M25" s="156"/>
      <c r="N25" s="157"/>
      <c r="O25" s="17" t="str" cm="1">
        <f t="array" ref="O2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</v>
      </c>
      <c r="P25" s="18" t="str" cm="1">
        <f t="array" ref="P2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A2D50</v>
      </c>
      <c r="Q25" s="19" t="str" cm="1">
        <f t="array" ref="Q2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A2L80</v>
      </c>
    </row>
    <row r="26" spans="1:17" ht="15" x14ac:dyDescent="0.25">
      <c r="A26" s="52" t="s">
        <v>129</v>
      </c>
      <c r="B26" s="125" t="str">
        <f>KeyTable[[#This Row],[Class]]&amp;KeyTable[[#This Row],[Type]]</f>
        <v>ErrHdKey</v>
      </c>
      <c r="C26" s="1" t="s">
        <v>130</v>
      </c>
      <c r="D26" s="1" t="s">
        <v>33</v>
      </c>
      <c r="E26" s="1" t="s">
        <v>34</v>
      </c>
      <c r="F26" s="1" t="s">
        <v>80</v>
      </c>
      <c r="G26" s="3" t="b">
        <v>1</v>
      </c>
      <c r="H26" s="3" t="s">
        <v>36</v>
      </c>
      <c r="I26" s="152" t="s">
        <v>131</v>
      </c>
      <c r="J26" s="153" t="s">
        <v>131</v>
      </c>
      <c r="K26" s="153"/>
      <c r="L26" s="158"/>
      <c r="M26" s="159"/>
      <c r="N26" s="160"/>
      <c r="O26" s="21" t="str" cm="1">
        <f t="array" ref="O2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A3D50</v>
      </c>
      <c r="P26" s="22" t="str" cm="1">
        <f t="array" ref="P2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Q26" s="23" t="str" cm="1">
        <f t="array" ref="Q2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7" spans="1:17" ht="15" x14ac:dyDescent="0.25">
      <c r="A27" s="53" t="s">
        <v>132</v>
      </c>
      <c r="B27" s="126" t="str">
        <f>KeyTable[[#This Row],[Class]]&amp;KeyTable[[#This Row],[Type]]</f>
        <v>ErrHd</v>
      </c>
      <c r="C27" s="1" t="s">
        <v>130</v>
      </c>
      <c r="D27" s="1" t="s">
        <v>47</v>
      </c>
      <c r="E27" s="1" t="s">
        <v>133</v>
      </c>
      <c r="F27" s="1" t="s">
        <v>35</v>
      </c>
      <c r="G27" s="3" t="b">
        <v>1</v>
      </c>
      <c r="H27" s="3" t="s">
        <v>36</v>
      </c>
      <c r="I27" s="152" t="s">
        <v>131</v>
      </c>
      <c r="J27" s="153" t="s">
        <v>131</v>
      </c>
      <c r="K27" s="153"/>
      <c r="L27" s="152"/>
      <c r="M27" s="153"/>
      <c r="N27" s="154"/>
      <c r="O27" s="5" t="str" cm="1">
        <f t="array" ref="O2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A3D25</v>
      </c>
      <c r="P27" s="6" t="str" cm="1">
        <f t="array" ref="P2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Q27" s="12" t="str" cm="1">
        <f t="array" ref="Q2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8" spans="1:17" ht="15" x14ac:dyDescent="0.25">
      <c r="A28" s="54" t="s">
        <v>134</v>
      </c>
      <c r="B28" s="106" t="str">
        <f>KeyTable[[#This Row],[Class]]&amp;KeyTable[[#This Row],[Type]]</f>
        <v>ErrKey</v>
      </c>
      <c r="C28" s="1" t="s">
        <v>130</v>
      </c>
      <c r="D28" s="1" t="s">
        <v>56</v>
      </c>
      <c r="E28" s="1" t="s">
        <v>57</v>
      </c>
      <c r="G28" s="3" t="s">
        <v>109</v>
      </c>
      <c r="H28" s="3" t="s">
        <v>36</v>
      </c>
      <c r="I28" s="152" t="s">
        <v>48</v>
      </c>
      <c r="J28" s="153" t="s">
        <v>131</v>
      </c>
      <c r="K28" s="153"/>
      <c r="L28" s="152"/>
      <c r="M28" s="153"/>
      <c r="N28" s="154"/>
      <c r="O28" s="5" t="str" cm="1">
        <f t="array" ref="O2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A3L40</v>
      </c>
      <c r="P28" s="6" t="str" cm="1">
        <f t="array" ref="P2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8" s="12" t="str" cm="1">
        <f t="array" ref="Q2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9" spans="1:17" ht="15" x14ac:dyDescent="0.25">
      <c r="A29" s="55" t="s">
        <v>135</v>
      </c>
      <c r="B29" s="127" t="str">
        <f>KeyTable[[#This Row],[Class]]&amp;KeyTable[[#This Row],[Type]]</f>
        <v>ErrVal</v>
      </c>
      <c r="C29" s="1" t="s">
        <v>130</v>
      </c>
      <c r="D29" s="1" t="s">
        <v>65</v>
      </c>
      <c r="E29" s="1" t="s">
        <v>57</v>
      </c>
      <c r="G29" s="3" t="s">
        <v>109</v>
      </c>
      <c r="H29" s="99" t="s">
        <v>40</v>
      </c>
      <c r="I29" s="152" t="s">
        <v>48</v>
      </c>
      <c r="J29" s="153" t="s">
        <v>131</v>
      </c>
      <c r="K29" s="153"/>
      <c r="L29" s="152" t="s">
        <v>111</v>
      </c>
      <c r="M29" s="153"/>
      <c r="N29" s="154"/>
      <c r="O29" s="5" t="str" cm="1">
        <f t="array" ref="O2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P29" s="6" t="str" cm="1">
        <f t="array" ref="P2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9" s="12" t="str" cm="1">
        <f t="array" ref="Q2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0" spans="1:17" ht="15" x14ac:dyDescent="0.25">
      <c r="A30" s="56" t="s">
        <v>136</v>
      </c>
      <c r="B30" s="128" t="str">
        <f>KeyTable[[#This Row],[Class]]&amp;KeyTable[[#This Row],[Type]]</f>
        <v>ErrCell</v>
      </c>
      <c r="C30" s="1" t="s">
        <v>130</v>
      </c>
      <c r="D30" s="1" t="s">
        <v>72</v>
      </c>
      <c r="E30" s="1" t="s">
        <v>57</v>
      </c>
      <c r="G30" s="3" t="s">
        <v>109</v>
      </c>
      <c r="H30" s="3" t="s">
        <v>36</v>
      </c>
      <c r="I30" s="152" t="s">
        <v>48</v>
      </c>
      <c r="J30" s="153" t="s">
        <v>131</v>
      </c>
      <c r="K30" s="153"/>
      <c r="L30" s="152" t="s">
        <v>113</v>
      </c>
      <c r="M30" s="153"/>
      <c r="N30" s="154"/>
      <c r="O30" s="5" t="str" cm="1">
        <f t="array" ref="O3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A3L80</v>
      </c>
      <c r="P30" s="6" t="str" cm="1">
        <f t="array" ref="P3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0" s="12" t="str" cm="1">
        <f t="array" ref="Q3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1" spans="1:17" ht="15.75" thickBot="1" x14ac:dyDescent="0.3">
      <c r="A31" s="57" t="s">
        <v>137</v>
      </c>
      <c r="B31" s="129" t="str">
        <f>KeyTable[[#This Row],[Class]]&amp;KeyTable[[#This Row],[Type]]</f>
        <v>ActError</v>
      </c>
      <c r="C31" s="1" t="s">
        <v>95</v>
      </c>
      <c r="D31" s="1" t="s">
        <v>88</v>
      </c>
      <c r="E31" s="15" t="s">
        <v>138</v>
      </c>
      <c r="F31" s="15" t="s">
        <v>96</v>
      </c>
      <c r="G31" s="16" t="s">
        <v>109</v>
      </c>
      <c r="H31" s="16" t="s">
        <v>36</v>
      </c>
      <c r="I31" s="155" t="s">
        <v>131</v>
      </c>
      <c r="J31" s="156" t="s">
        <v>131</v>
      </c>
      <c r="K31" s="156" t="s">
        <v>131</v>
      </c>
      <c r="L31" s="155" t="s">
        <v>111</v>
      </c>
      <c r="M31" s="156"/>
      <c r="N31" s="157"/>
      <c r="O31" s="17" t="str" cm="1">
        <f t="array" ref="O3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P31" s="18" t="str" cm="1">
        <f t="array" ref="P3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A3D50</v>
      </c>
      <c r="Q31" s="19" t="str" cm="1">
        <f t="array" ref="Q3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A3L80</v>
      </c>
    </row>
    <row r="32" spans="1:17" ht="15" x14ac:dyDescent="0.25">
      <c r="A32" s="58" t="s">
        <v>139</v>
      </c>
      <c r="B32" s="130" t="str">
        <f>KeyTable[[#This Row],[Class]]&amp;KeyTable[[#This Row],[Type]]</f>
        <v>LkpHdKey</v>
      </c>
      <c r="C32" s="1" t="s">
        <v>140</v>
      </c>
      <c r="D32" s="1" t="s">
        <v>33</v>
      </c>
      <c r="E32" s="1" t="s">
        <v>34</v>
      </c>
      <c r="F32" s="1" t="s">
        <v>35</v>
      </c>
      <c r="G32" s="3" t="b">
        <v>1</v>
      </c>
      <c r="H32" s="3" t="s">
        <v>36</v>
      </c>
      <c r="I32" s="152" t="s">
        <v>141</v>
      </c>
      <c r="J32" s="153" t="s">
        <v>141</v>
      </c>
      <c r="K32" s="153"/>
      <c r="L32" s="158"/>
      <c r="M32" s="159"/>
      <c r="N32" s="160"/>
      <c r="O32" s="21" t="str" cm="1">
        <f t="array" ref="O3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A4D50</v>
      </c>
      <c r="P32" s="22" t="str" cm="1">
        <f t="array" ref="P3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Q32" s="23" t="str" cm="1">
        <f t="array" ref="Q3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3" spans="1:17" ht="15" x14ac:dyDescent="0.25">
      <c r="A33" s="59" t="s">
        <v>142</v>
      </c>
      <c r="B33" s="131" t="str">
        <f>KeyTable[[#This Row],[Class]]&amp;KeyTable[[#This Row],[Type]]</f>
        <v>LkpHd</v>
      </c>
      <c r="C33" s="1" t="s">
        <v>140</v>
      </c>
      <c r="D33" s="1" t="s">
        <v>47</v>
      </c>
      <c r="E33" s="1" t="s">
        <v>34</v>
      </c>
      <c r="F33" s="1" t="s">
        <v>35</v>
      </c>
      <c r="G33" s="3" t="b">
        <v>1</v>
      </c>
      <c r="H33" s="3" t="s">
        <v>36</v>
      </c>
      <c r="I33" s="152" t="s">
        <v>141</v>
      </c>
      <c r="J33" s="153" t="s">
        <v>141</v>
      </c>
      <c r="K33" s="153"/>
      <c r="L33" s="152"/>
      <c r="M33" s="153"/>
      <c r="N33" s="154"/>
      <c r="O33" s="5" t="str" cm="1">
        <f t="array" ref="O3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A4D25</v>
      </c>
      <c r="P33" s="6" t="str" cm="1">
        <f t="array" ref="P3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Q33" s="12" t="str" cm="1">
        <f t="array" ref="Q3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4" spans="1:17" ht="15" x14ac:dyDescent="0.25">
      <c r="A34" s="60" t="s">
        <v>143</v>
      </c>
      <c r="B34" s="132" t="str">
        <f>KeyTable[[#This Row],[Class]]&amp;KeyTable[[#This Row],[Type]]</f>
        <v>LkpKey</v>
      </c>
      <c r="C34" s="1" t="s">
        <v>140</v>
      </c>
      <c r="D34" s="1" t="s">
        <v>56</v>
      </c>
      <c r="E34" s="1" t="s">
        <v>144</v>
      </c>
      <c r="G34" s="3" t="b">
        <v>1</v>
      </c>
      <c r="H34" s="3" t="s">
        <v>36</v>
      </c>
      <c r="I34" s="152" t="s">
        <v>48</v>
      </c>
      <c r="J34" s="153" t="s">
        <v>141</v>
      </c>
      <c r="K34" s="153"/>
      <c r="L34" s="152"/>
      <c r="M34" s="153"/>
      <c r="N34" s="154"/>
      <c r="O34" s="5" t="str" cm="1">
        <f t="array" ref="O3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A4L40</v>
      </c>
      <c r="P34" s="6" t="str" cm="1">
        <f t="array" ref="P3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4" s="12" t="str" cm="1">
        <f t="array" ref="Q3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5" spans="1:17" ht="15" x14ac:dyDescent="0.25">
      <c r="A35" s="61" t="s">
        <v>145</v>
      </c>
      <c r="B35" s="133" t="str">
        <f>KeyTable[[#This Row],[Class]]&amp;KeyTable[[#This Row],[Type]]</f>
        <v>LkpDate</v>
      </c>
      <c r="C35" s="1" t="s">
        <v>140</v>
      </c>
      <c r="D35" s="1" t="s">
        <v>124</v>
      </c>
      <c r="E35" s="1" t="s">
        <v>144</v>
      </c>
      <c r="F35" s="1" t="s">
        <v>196</v>
      </c>
      <c r="G35" s="3" t="b">
        <v>1</v>
      </c>
      <c r="H35" s="99" t="s">
        <v>40</v>
      </c>
      <c r="I35" s="152" t="s">
        <v>48</v>
      </c>
      <c r="J35" s="153" t="s">
        <v>141</v>
      </c>
      <c r="K35" s="153"/>
      <c r="L35" s="152" t="s">
        <v>111</v>
      </c>
      <c r="M35" s="153"/>
      <c r="N35" s="154"/>
      <c r="O35" s="5" t="str" cm="1">
        <f t="array" ref="O3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P35" s="6" t="str" cm="1">
        <f t="array" ref="P3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5" s="12" t="str" cm="1">
        <f t="array" ref="Q3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6" spans="1:17" ht="15" x14ac:dyDescent="0.25">
      <c r="A36" s="62" t="s">
        <v>146</v>
      </c>
      <c r="B36" s="134" t="str">
        <f>KeyTable[[#This Row],[Class]]&amp;KeyTable[[#This Row],[Type]]</f>
        <v>LkpVal</v>
      </c>
      <c r="C36" s="1" t="s">
        <v>140</v>
      </c>
      <c r="D36" s="1" t="s">
        <v>65</v>
      </c>
      <c r="E36" s="1" t="s">
        <v>144</v>
      </c>
      <c r="F36" s="1" t="s">
        <v>178</v>
      </c>
      <c r="G36" s="3" t="b">
        <v>1</v>
      </c>
      <c r="H36" s="99" t="s">
        <v>40</v>
      </c>
      <c r="I36" s="152" t="s">
        <v>48</v>
      </c>
      <c r="J36" s="153" t="s">
        <v>141</v>
      </c>
      <c r="K36" s="153"/>
      <c r="L36" s="152" t="s">
        <v>111</v>
      </c>
      <c r="M36" s="153"/>
      <c r="N36" s="154"/>
      <c r="O36" s="5" t="str" cm="1">
        <f t="array" ref="O3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P36" s="6" t="str" cm="1">
        <f t="array" ref="P3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6" s="12" t="str" cm="1">
        <f t="array" ref="Q3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7" spans="1:17" ht="15" x14ac:dyDescent="0.25">
      <c r="A37" s="63" t="s">
        <v>147</v>
      </c>
      <c r="B37" s="135" t="str">
        <f>KeyTable[[#This Row],[Class]]&amp;KeyTable[[#This Row],[Type]]</f>
        <v>LkpCell</v>
      </c>
      <c r="C37" s="1" t="s">
        <v>140</v>
      </c>
      <c r="D37" s="1" t="s">
        <v>72</v>
      </c>
      <c r="E37" s="1" t="s">
        <v>144</v>
      </c>
      <c r="G37" s="3" t="b">
        <v>1</v>
      </c>
      <c r="H37" s="3" t="s">
        <v>36</v>
      </c>
      <c r="I37" s="152" t="s">
        <v>48</v>
      </c>
      <c r="J37" s="153" t="s">
        <v>141</v>
      </c>
      <c r="K37" s="153"/>
      <c r="L37" s="152" t="s">
        <v>113</v>
      </c>
      <c r="M37" s="153"/>
      <c r="N37" s="154"/>
      <c r="O37" s="5" t="str" cm="1">
        <f t="array" ref="O3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A4L80</v>
      </c>
      <c r="P37" s="6" t="str" cm="1">
        <f t="array" ref="P3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7" s="12" t="str" cm="1">
        <f t="array" ref="Q3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8" spans="1:17" ht="15.75" thickBot="1" x14ac:dyDescent="0.3">
      <c r="A38" s="64" t="s">
        <v>148</v>
      </c>
      <c r="B38" s="136" t="str">
        <f>KeyTable[[#This Row],[Class]]&amp;KeyTable[[#This Row],[Type]]</f>
        <v>ActFind</v>
      </c>
      <c r="C38" s="1" t="s">
        <v>95</v>
      </c>
      <c r="D38" s="1" t="s">
        <v>149</v>
      </c>
      <c r="E38" s="15" t="s">
        <v>144</v>
      </c>
      <c r="F38" s="15" t="s">
        <v>96</v>
      </c>
      <c r="G38" s="16" t="b">
        <v>1</v>
      </c>
      <c r="H38" s="16" t="s">
        <v>36</v>
      </c>
      <c r="I38" s="155" t="s">
        <v>141</v>
      </c>
      <c r="J38" s="156" t="s">
        <v>141</v>
      </c>
      <c r="K38" s="156" t="s">
        <v>141</v>
      </c>
      <c r="L38" s="155"/>
      <c r="M38" s="156"/>
      <c r="N38" s="157"/>
      <c r="O38" s="17" t="str" cm="1">
        <f t="array" ref="O3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</v>
      </c>
      <c r="P38" s="18" t="str" cm="1">
        <f t="array" ref="P3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A4D50</v>
      </c>
      <c r="Q38" s="19" t="str" cm="1">
        <f t="array" ref="Q3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A4L80</v>
      </c>
    </row>
    <row r="39" spans="1:17" ht="15" x14ac:dyDescent="0.25">
      <c r="A39" s="65" t="s">
        <v>150</v>
      </c>
      <c r="B39" s="137" t="str">
        <f>KeyTable[[#This Row],[Class]]&amp;KeyTable[[#This Row],[Type]]</f>
        <v>QueHdKey</v>
      </c>
      <c r="C39" s="1" t="s">
        <v>151</v>
      </c>
      <c r="D39" s="1" t="s">
        <v>33</v>
      </c>
      <c r="E39" s="1" t="s">
        <v>34</v>
      </c>
      <c r="F39" s="1" t="s">
        <v>35</v>
      </c>
      <c r="G39" s="3" t="b">
        <v>1</v>
      </c>
      <c r="H39" s="3" t="s">
        <v>36</v>
      </c>
      <c r="I39" s="152" t="s">
        <v>152</v>
      </c>
      <c r="J39" s="153" t="s">
        <v>152</v>
      </c>
      <c r="K39" s="153"/>
      <c r="L39" s="158"/>
      <c r="M39" s="159"/>
      <c r="N39" s="160"/>
      <c r="O39" s="21" t="str" cm="1">
        <f t="array" ref="O3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A5D50</v>
      </c>
      <c r="P39" s="22" t="str" cm="1">
        <f t="array" ref="P3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Q39" s="23" t="str" cm="1">
        <f t="array" ref="Q3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0" spans="1:17" ht="15" x14ac:dyDescent="0.25">
      <c r="A40" s="66" t="s">
        <v>153</v>
      </c>
      <c r="B40" s="138" t="str">
        <f>KeyTable[[#This Row],[Class]]&amp;KeyTable[[#This Row],[Type]]</f>
        <v>QueHd</v>
      </c>
      <c r="C40" s="1" t="s">
        <v>151</v>
      </c>
      <c r="D40" s="1" t="s">
        <v>47</v>
      </c>
      <c r="E40" s="1" t="s">
        <v>34</v>
      </c>
      <c r="F40" s="1" t="s">
        <v>35</v>
      </c>
      <c r="G40" s="3" t="b">
        <v>1</v>
      </c>
      <c r="H40" s="3" t="s">
        <v>36</v>
      </c>
      <c r="I40" s="152" t="s">
        <v>152</v>
      </c>
      <c r="J40" s="153" t="s">
        <v>152</v>
      </c>
      <c r="K40" s="153"/>
      <c r="L40" s="152"/>
      <c r="M40" s="153"/>
      <c r="N40" s="154"/>
      <c r="O40" s="5" t="str" cm="1">
        <f t="array" ref="O4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A5D25</v>
      </c>
      <c r="P40" s="6" t="str" cm="1">
        <f t="array" ref="P4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Q40" s="12" t="str" cm="1">
        <f t="array" ref="Q4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1" spans="1:17" ht="15" x14ac:dyDescent="0.25">
      <c r="A41" s="67" t="s">
        <v>154</v>
      </c>
      <c r="B41" s="139" t="str">
        <f>KeyTable[[#This Row],[Class]]&amp;KeyTable[[#This Row],[Type]]</f>
        <v>QueKey</v>
      </c>
      <c r="C41" s="1" t="s">
        <v>151</v>
      </c>
      <c r="D41" s="1" t="s">
        <v>56</v>
      </c>
      <c r="E41" s="1" t="s">
        <v>57</v>
      </c>
      <c r="G41" s="3" t="b">
        <v>1</v>
      </c>
      <c r="H41" s="3" t="s">
        <v>36</v>
      </c>
      <c r="I41" s="152" t="s">
        <v>48</v>
      </c>
      <c r="J41" s="153" t="s">
        <v>152</v>
      </c>
      <c r="K41" s="153"/>
      <c r="L41" s="152"/>
      <c r="M41" s="153"/>
      <c r="N41" s="154"/>
      <c r="O41" s="5" t="str" cm="1">
        <f t="array" ref="O4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P41" s="6" t="str" cm="1">
        <f t="array" ref="P4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1" s="12" t="str" cm="1">
        <f t="array" ref="Q4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2" spans="1:17" ht="15" x14ac:dyDescent="0.25">
      <c r="A42" s="68" t="s">
        <v>155</v>
      </c>
      <c r="B42" s="140" t="str">
        <f>KeyTable[[#This Row],[Class]]&amp;KeyTable[[#This Row],[Type]]</f>
        <v>QueVal</v>
      </c>
      <c r="C42" s="1" t="s">
        <v>151</v>
      </c>
      <c r="D42" s="1" t="s">
        <v>65</v>
      </c>
      <c r="E42" s="1" t="s">
        <v>57</v>
      </c>
      <c r="F42" s="1" t="s">
        <v>178</v>
      </c>
      <c r="G42" s="3" t="b">
        <v>1</v>
      </c>
      <c r="H42" s="99" t="s">
        <v>40</v>
      </c>
      <c r="I42" s="152" t="s">
        <v>48</v>
      </c>
      <c r="J42" s="153" t="s">
        <v>152</v>
      </c>
      <c r="K42" s="153"/>
      <c r="L42" s="152" t="s">
        <v>111</v>
      </c>
      <c r="M42" s="153"/>
      <c r="N42" s="154"/>
      <c r="O42" s="5" t="str" cm="1">
        <f t="array" ref="O4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A5L60</v>
      </c>
      <c r="P42" s="6" t="str" cm="1">
        <f t="array" ref="P4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2" s="12" t="str" cm="1">
        <f t="array" ref="Q4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3" spans="1:17" ht="15" x14ac:dyDescent="0.25">
      <c r="A43" s="69" t="s">
        <v>156</v>
      </c>
      <c r="B43" s="141" t="str">
        <f>KeyTable[[#This Row],[Class]]&amp;KeyTable[[#This Row],[Type]]</f>
        <v>QueCell</v>
      </c>
      <c r="C43" s="1" t="s">
        <v>151</v>
      </c>
      <c r="D43" s="1" t="s">
        <v>72</v>
      </c>
      <c r="E43" s="1" t="s">
        <v>57</v>
      </c>
      <c r="G43" s="3" t="b">
        <v>1</v>
      </c>
      <c r="H43" s="3" t="s">
        <v>36</v>
      </c>
      <c r="I43" s="152" t="s">
        <v>48</v>
      </c>
      <c r="J43" s="153" t="s">
        <v>152</v>
      </c>
      <c r="K43" s="153"/>
      <c r="L43" s="152" t="s">
        <v>113</v>
      </c>
      <c r="M43" s="153"/>
      <c r="N43" s="154"/>
      <c r="O43" s="5" t="str" cm="1">
        <f t="array" ref="O4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A5L80</v>
      </c>
      <c r="P43" s="6" t="str" cm="1">
        <f t="array" ref="P4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3" s="12" t="str" cm="1">
        <f t="array" ref="Q4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4" spans="1:17" ht="15.75" thickBot="1" x14ac:dyDescent="0.3">
      <c r="A44" s="70" t="s">
        <v>157</v>
      </c>
      <c r="B44" s="142" t="str">
        <f>KeyTable[[#This Row],[Class]]&amp;KeyTable[[#This Row],[Type]]</f>
        <v>ActGood</v>
      </c>
      <c r="C44" s="15" t="s">
        <v>95</v>
      </c>
      <c r="D44" s="15" t="s">
        <v>158</v>
      </c>
      <c r="E44" s="15" t="s">
        <v>57</v>
      </c>
      <c r="F44" s="15" t="s">
        <v>96</v>
      </c>
      <c r="G44" s="16" t="b">
        <v>1</v>
      </c>
      <c r="H44" s="16" t="s">
        <v>36</v>
      </c>
      <c r="I44" s="155" t="s">
        <v>152</v>
      </c>
      <c r="J44" s="156" t="s">
        <v>152</v>
      </c>
      <c r="K44" s="156" t="s">
        <v>152</v>
      </c>
      <c r="L44" s="155" t="s">
        <v>159</v>
      </c>
      <c r="M44" s="156"/>
      <c r="N44" s="157"/>
      <c r="O44" s="17" t="str" cm="1">
        <f t="array" ref="O4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P44" s="18" t="str" cm="1">
        <f t="array" ref="P4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A5D50</v>
      </c>
      <c r="Q44" s="19" t="str" cm="1">
        <f t="array" ref="Q4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A5L80</v>
      </c>
    </row>
    <row r="45" spans="1:17" ht="15" x14ac:dyDescent="0.25">
      <c r="A45" s="71" t="s">
        <v>160</v>
      </c>
      <c r="B45" s="143" t="str">
        <f>KeyTable[[#This Row],[Class]]&amp;KeyTable[[#This Row],[Type]]</f>
        <v>IntHdKey</v>
      </c>
      <c r="C45" s="1" t="s">
        <v>161</v>
      </c>
      <c r="D45" s="1" t="s">
        <v>33</v>
      </c>
      <c r="E45" s="1" t="s">
        <v>34</v>
      </c>
      <c r="F45" s="1" t="s">
        <v>35</v>
      </c>
      <c r="G45" s="3" t="b">
        <v>1</v>
      </c>
      <c r="H45" s="3" t="s">
        <v>36</v>
      </c>
      <c r="I45" s="152" t="s">
        <v>162</v>
      </c>
      <c r="J45" s="153" t="s">
        <v>162</v>
      </c>
      <c r="K45" s="153"/>
      <c r="L45" s="158"/>
      <c r="M45" s="159"/>
      <c r="N45" s="160"/>
      <c r="O45" s="21" t="str" cm="1">
        <f t="array" ref="O4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A6D50</v>
      </c>
      <c r="P45" s="22" t="str" cm="1">
        <f t="array" ref="P4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Q45" s="23" t="str" cm="1">
        <f t="array" ref="Q4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6" spans="1:17" ht="15" x14ac:dyDescent="0.25">
      <c r="A46" s="2" t="s">
        <v>163</v>
      </c>
      <c r="B46" s="144" t="str">
        <f>KeyTable[[#This Row],[Class]]&amp;KeyTable[[#This Row],[Type]]</f>
        <v>IntHd</v>
      </c>
      <c r="C46" s="1" t="s">
        <v>161</v>
      </c>
      <c r="D46" s="1" t="s">
        <v>47</v>
      </c>
      <c r="E46" s="1" t="s">
        <v>34</v>
      </c>
      <c r="F46" s="1" t="s">
        <v>35</v>
      </c>
      <c r="G46" s="3" t="b">
        <v>1</v>
      </c>
      <c r="H46" s="3" t="s">
        <v>36</v>
      </c>
      <c r="I46" s="152" t="s">
        <v>162</v>
      </c>
      <c r="J46" s="153" t="s">
        <v>162</v>
      </c>
      <c r="K46" s="153"/>
      <c r="L46" s="152"/>
      <c r="M46" s="153"/>
      <c r="N46" s="154"/>
      <c r="O46" s="5" t="str" cm="1">
        <f t="array" ref="O4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A6D25</v>
      </c>
      <c r="P46" s="6" t="str" cm="1">
        <f t="array" ref="P4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Q46" s="12" t="str" cm="1">
        <f t="array" ref="Q4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7" spans="1:17" ht="15" x14ac:dyDescent="0.25">
      <c r="A47" s="72" t="s">
        <v>164</v>
      </c>
      <c r="B47" s="145" t="str">
        <f>KeyTable[[#This Row],[Class]]&amp;KeyTable[[#This Row],[Type]]</f>
        <v>IntKey</v>
      </c>
      <c r="C47" s="1" t="s">
        <v>161</v>
      </c>
      <c r="D47" s="1" t="s">
        <v>56</v>
      </c>
      <c r="E47" s="1" t="s">
        <v>138</v>
      </c>
      <c r="G47" s="3" t="b">
        <v>0</v>
      </c>
      <c r="H47" s="3" t="s">
        <v>36</v>
      </c>
      <c r="I47" s="152" t="s">
        <v>48</v>
      </c>
      <c r="J47" s="153" t="s">
        <v>162</v>
      </c>
      <c r="K47" s="153"/>
      <c r="L47" s="152"/>
      <c r="M47" s="153"/>
      <c r="N47" s="154"/>
      <c r="O47" s="5" t="str" cm="1">
        <f t="array" ref="O4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A6L40</v>
      </c>
      <c r="P47" s="6" t="str" cm="1">
        <f t="array" ref="P4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7" s="12" t="str" cm="1">
        <f t="array" ref="Q4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8" spans="1:17" ht="15" x14ac:dyDescent="0.25">
      <c r="A48" s="73" t="s">
        <v>165</v>
      </c>
      <c r="B48" s="146" t="str">
        <f>KeyTable[[#This Row],[Class]]&amp;KeyTable[[#This Row],[Type]]</f>
        <v>IntVal</v>
      </c>
      <c r="C48" s="1" t="s">
        <v>161</v>
      </c>
      <c r="D48" s="1" t="s">
        <v>65</v>
      </c>
      <c r="E48" s="1" t="s">
        <v>138</v>
      </c>
      <c r="F48" s="1" t="s">
        <v>178</v>
      </c>
      <c r="G48" s="3" t="b">
        <v>0</v>
      </c>
      <c r="H48" s="99" t="s">
        <v>40</v>
      </c>
      <c r="I48" s="152" t="s">
        <v>48</v>
      </c>
      <c r="J48" s="153" t="s">
        <v>162</v>
      </c>
      <c r="K48" s="153"/>
      <c r="L48" s="152" t="s">
        <v>111</v>
      </c>
      <c r="M48" s="153"/>
      <c r="N48" s="154"/>
      <c r="O48" s="5" t="str" cm="1">
        <f t="array" ref="O4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P48" s="6" t="str" cm="1">
        <f t="array" ref="P4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8" s="12" t="str" cm="1">
        <f t="array" ref="Q4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9" spans="1:17" ht="15" x14ac:dyDescent="0.25">
      <c r="A49" s="74" t="s">
        <v>166</v>
      </c>
      <c r="B49" s="147" t="str">
        <f>KeyTable[[#This Row],[Class]]&amp;KeyTable[[#This Row],[Type]]</f>
        <v>IntCell</v>
      </c>
      <c r="C49" s="1" t="s">
        <v>161</v>
      </c>
      <c r="D49" s="1" t="s">
        <v>72</v>
      </c>
      <c r="E49" s="1" t="s">
        <v>138</v>
      </c>
      <c r="G49" s="3" t="b">
        <v>0</v>
      </c>
      <c r="H49" s="3" t="s">
        <v>36</v>
      </c>
      <c r="I49" s="152" t="s">
        <v>48</v>
      </c>
      <c r="J49" s="153" t="s">
        <v>162</v>
      </c>
      <c r="K49" s="153"/>
      <c r="L49" s="152" t="s">
        <v>113</v>
      </c>
      <c r="M49" s="153"/>
      <c r="N49" s="154"/>
      <c r="O49" s="5" t="str" cm="1">
        <f t="array" ref="O4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A6L80</v>
      </c>
      <c r="P49" s="6" t="str" cm="1">
        <f t="array" ref="P4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9" s="12" t="str" cm="1">
        <f t="array" ref="Q4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0" spans="1:17" ht="15" x14ac:dyDescent="0.25">
      <c r="A50" s="75" t="s">
        <v>167</v>
      </c>
      <c r="B50" s="148" t="str">
        <f>KeyTable[[#This Row],[Class]]&amp;KeyTable[[#This Row],[Type]]</f>
        <v>ActNote</v>
      </c>
      <c r="C50" s="1" t="s">
        <v>95</v>
      </c>
      <c r="D50" s="1" t="s">
        <v>168</v>
      </c>
      <c r="E50" s="1" t="s">
        <v>169</v>
      </c>
      <c r="F50" s="1" t="s">
        <v>170</v>
      </c>
      <c r="G50" s="3" t="b">
        <v>0</v>
      </c>
      <c r="H50" s="3" t="s">
        <v>36</v>
      </c>
      <c r="I50" s="152" t="s">
        <v>162</v>
      </c>
      <c r="J50" s="153" t="s">
        <v>162</v>
      </c>
      <c r="K50" s="153" t="s">
        <v>162</v>
      </c>
      <c r="L50" s="161" t="s">
        <v>111</v>
      </c>
      <c r="M50" s="162"/>
      <c r="N50" s="165"/>
      <c r="O50" s="5" t="str" cm="1">
        <f t="array" ref="O5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P50" s="6" t="str" cm="1">
        <f t="array" ref="P5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A6D50</v>
      </c>
      <c r="Q50" s="12" t="str" cm="1">
        <f t="array" ref="Q5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A6L80</v>
      </c>
    </row>
    <row r="51" spans="1:17" ht="15" x14ac:dyDescent="0.25">
      <c r="A51" s="76" t="s">
        <v>171</v>
      </c>
      <c r="B51" s="149" t="str">
        <f>KeyTable[[#This Row],[Class]]&amp;KeyTable[[#This Row],[Type]]</f>
        <v>Normal</v>
      </c>
      <c r="C51" s="77"/>
      <c r="D51" s="28" t="s">
        <v>172</v>
      </c>
      <c r="E51" s="28" t="s">
        <v>173</v>
      </c>
      <c r="F51" s="28" t="s">
        <v>174</v>
      </c>
      <c r="G51" s="29" t="s">
        <v>109</v>
      </c>
      <c r="H51" s="29" t="s">
        <v>36</v>
      </c>
      <c r="I51" s="152"/>
      <c r="J51" s="153"/>
      <c r="K51" s="153"/>
      <c r="L51" s="152"/>
      <c r="M51" s="153"/>
      <c r="N51" s="153"/>
      <c r="O51" s="78" t="str" cm="1">
        <f t="array" ref="O5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/>
      </c>
      <c r="P51" s="78" t="str" cm="1">
        <f t="array" ref="P5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/>
      </c>
      <c r="Q51" s="79" t="str" cm="1">
        <f t="array" ref="Q5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2" spans="1:17" ht="15" x14ac:dyDescent="0.25">
      <c r="A52" s="80" t="s">
        <v>175</v>
      </c>
      <c r="B52" s="150" t="str">
        <f>KeyTable[[#This Row],[Class]]&amp;KeyTable[[#This Row],[Type]]</f>
        <v>xCond</v>
      </c>
      <c r="C52" s="77" t="s">
        <v>176</v>
      </c>
      <c r="D52" s="28" t="s">
        <v>28</v>
      </c>
      <c r="E52" s="28" t="s">
        <v>177</v>
      </c>
      <c r="F52" s="28" t="s">
        <v>178</v>
      </c>
      <c r="G52" s="81" t="s">
        <v>109</v>
      </c>
      <c r="H52" s="101" t="s">
        <v>41</v>
      </c>
      <c r="I52" s="152"/>
      <c r="J52" s="153"/>
      <c r="K52" s="153"/>
      <c r="L52" s="152"/>
      <c r="M52" s="153"/>
      <c r="N52" s="153"/>
      <c r="O52" s="78" t="str" cm="1">
        <f t="array" ref="O5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/>
      </c>
      <c r="P52" s="78" t="str" cm="1">
        <f t="array" ref="P5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/>
      </c>
      <c r="Q52" s="79" t="str" cm="1">
        <f t="array" ref="Q5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3" spans="1:17" ht="15" x14ac:dyDescent="0.25">
      <c r="A53" s="82" t="s">
        <v>179</v>
      </c>
      <c r="B53" s="151" t="str">
        <f>KeyTable[[#This Row],[Class]]&amp;KeyTable[[#This Row],[Type]]</f>
        <v>xMono</v>
      </c>
      <c r="C53" s="77" t="s">
        <v>176</v>
      </c>
      <c r="D53" s="28" t="s">
        <v>27</v>
      </c>
      <c r="E53" s="28" t="s">
        <v>177</v>
      </c>
      <c r="F53" s="28" t="s">
        <v>178</v>
      </c>
      <c r="G53" s="81" t="s">
        <v>109</v>
      </c>
      <c r="H53" s="100" t="s">
        <v>40</v>
      </c>
      <c r="I53" s="152"/>
      <c r="J53" s="153"/>
      <c r="K53" s="153"/>
      <c r="L53" s="152"/>
      <c r="M53" s="153"/>
      <c r="N53" s="153"/>
      <c r="O53" s="78" t="str" cm="1">
        <f t="array" ref="O5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/>
      </c>
      <c r="P53" s="78" t="str" cm="1">
        <f t="array" ref="P5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/>
      </c>
      <c r="Q53" s="79" t="str" cm="1">
        <f t="array" ref="Q5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4" spans="1:17" x14ac:dyDescent="0.2">
      <c r="A54" s="83"/>
      <c r="B54" s="84"/>
      <c r="C54" s="28"/>
      <c r="D54" s="28"/>
      <c r="E54" s="28"/>
      <c r="F54" s="28"/>
      <c r="G54" s="29"/>
      <c r="H54" s="85"/>
      <c r="I54" s="29"/>
      <c r="J54" s="29"/>
      <c r="K54" s="29"/>
      <c r="L54" s="29"/>
      <c r="M54" s="29"/>
      <c r="N54" s="29"/>
      <c r="O54" s="86"/>
      <c r="P54" s="86"/>
      <c r="Q54" s="87"/>
    </row>
    <row r="55" spans="1:17" x14ac:dyDescent="0.2">
      <c r="J55" s="3"/>
      <c r="K55" s="3"/>
      <c r="L55" s="3"/>
      <c r="M55" s="3"/>
      <c r="N55" s="3"/>
    </row>
    <row r="56" spans="1:17" x14ac:dyDescent="0.2">
      <c r="J56" s="3"/>
      <c r="K56" s="3"/>
      <c r="L56" s="3"/>
      <c r="M56" s="3"/>
      <c r="N56" s="3"/>
    </row>
    <row r="57" spans="1:17" x14ac:dyDescent="0.2">
      <c r="J57" s="3"/>
      <c r="K57" s="3"/>
      <c r="L57" s="3"/>
      <c r="M57" s="3"/>
      <c r="N57" s="3"/>
    </row>
    <row r="58" spans="1:17" x14ac:dyDescent="0.2">
      <c r="J58" s="3"/>
      <c r="K58" s="3"/>
      <c r="L58" s="3"/>
      <c r="M58" s="3"/>
      <c r="N58" s="3"/>
    </row>
    <row r="59" spans="1:17" x14ac:dyDescent="0.2">
      <c r="J59" s="3"/>
      <c r="K59" s="3"/>
      <c r="L59" s="3"/>
      <c r="M59" s="3"/>
      <c r="N59" s="3"/>
    </row>
    <row r="60" spans="1:17" x14ac:dyDescent="0.2">
      <c r="J60" s="3"/>
      <c r="K60" s="3"/>
      <c r="L60" s="3"/>
      <c r="M60" s="3"/>
      <c r="N60" s="3"/>
    </row>
    <row r="61" spans="1:17" x14ac:dyDescent="0.2">
      <c r="C61" s="3"/>
      <c r="D61" s="3"/>
      <c r="E61" s="3"/>
    </row>
    <row r="62" spans="1:17" x14ac:dyDescent="0.2">
      <c r="C62" s="3"/>
      <c r="D62" s="3"/>
      <c r="E62" s="3"/>
    </row>
    <row r="63" spans="1:17" x14ac:dyDescent="0.2">
      <c r="C63" s="3"/>
      <c r="D63" s="3"/>
      <c r="E63" s="3"/>
    </row>
    <row r="64" spans="1:17" x14ac:dyDescent="0.2">
      <c r="C64" s="3"/>
      <c r="D64" s="3"/>
      <c r="E64" s="3"/>
    </row>
    <row r="65" spans="3:5" x14ac:dyDescent="0.2">
      <c r="C65" s="3"/>
      <c r="D65" s="3"/>
      <c r="E65" s="3"/>
    </row>
    <row r="66" spans="3:5" x14ac:dyDescent="0.2">
      <c r="C66" s="3"/>
      <c r="D66" s="3"/>
      <c r="E66" s="3"/>
    </row>
    <row r="67" spans="3:5" x14ac:dyDescent="0.2">
      <c r="C67" s="3"/>
      <c r="D67" s="3"/>
      <c r="E67" s="3"/>
    </row>
    <row r="68" spans="3:5" x14ac:dyDescent="0.2">
      <c r="C68" s="3"/>
      <c r="D68" s="3"/>
      <c r="E68" s="3"/>
    </row>
    <row r="69" spans="3:5" x14ac:dyDescent="0.2">
      <c r="C69" s="3"/>
      <c r="D69" s="3"/>
      <c r="E69" s="3"/>
    </row>
    <row r="70" spans="3:5" x14ac:dyDescent="0.2">
      <c r="C70" s="3"/>
      <c r="D70" s="3"/>
      <c r="E70" s="3"/>
    </row>
    <row r="71" spans="3:5" x14ac:dyDescent="0.2"/>
    <row r="72" spans="3:5" x14ac:dyDescent="0.2"/>
    <row r="73" spans="3:5" x14ac:dyDescent="0.2"/>
    <row r="74" spans="3:5" x14ac:dyDescent="0.2"/>
    <row r="75" spans="3:5" x14ac:dyDescent="0.2"/>
    <row r="76" spans="3:5" x14ac:dyDescent="0.2"/>
    <row r="77" spans="3:5" x14ac:dyDescent="0.2"/>
    <row r="78" spans="3:5" x14ac:dyDescent="0.2"/>
    <row r="79" spans="3:5" x14ac:dyDescent="0.2"/>
    <row r="80" spans="3:5" x14ac:dyDescent="0.2"/>
    <row r="81" x14ac:dyDescent="0.2"/>
    <row r="82" x14ac:dyDescent="0.2"/>
    <row r="83" x14ac:dyDescent="0.2"/>
  </sheetData>
  <mergeCells count="7">
    <mergeCell ref="AA1:AD1"/>
    <mergeCell ref="AF1:AI1"/>
    <mergeCell ref="AK1:AN1"/>
    <mergeCell ref="A1:Q1"/>
    <mergeCell ref="S1:T1"/>
    <mergeCell ref="V1:X1"/>
    <mergeCell ref="Y1:Z3"/>
  </mergeCells>
  <dataValidations count="1">
    <dataValidation type="list" allowBlank="1" sqref="AH3:AI9" xr:uid="{8545E199-CE14-4651-8BA6-357EB878E47C}">
      <formula1>StyleNames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UseCol3Button">
          <controlPr defaultSize="0" print="0" autoLine="0" autoPict="0" linkedCell="#REF!" r:id="rId5">
            <anchor moveWithCells="1" sizeWithCells="1">
              <from>
                <xdr:col>17</xdr:col>
                <xdr:colOff>0</xdr:colOff>
                <xdr:row>4</xdr:row>
                <xdr:rowOff>0</xdr:rowOff>
              </from>
              <to>
                <xdr:col>17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25" r:id="rId4" name="UseCol3Button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1]!UpdateStyles">
            <anchor moveWithCells="1" sizeWithCells="1">
              <from>
                <xdr:col>24</xdr:col>
                <xdr:colOff>228600</xdr:colOff>
                <xdr:row>0</xdr:row>
                <xdr:rowOff>104775</xdr:rowOff>
              </from>
              <to>
                <xdr:col>25</xdr:col>
                <xdr:colOff>571500</xdr:colOff>
                <xdr:row>2</xdr:row>
                <xdr:rowOff>47625</xdr:rowOff>
              </to>
            </anchor>
          </controlPr>
        </control>
      </mc:Choice>
    </mc:AlternateContent>
  </controls>
  <tableParts count="6"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B2CD4-23BC-4B48-A4DE-7119AA277D7F}">
  <sheetPr codeName="Sheet1"/>
  <dimension ref="A1:W20"/>
  <sheetViews>
    <sheetView tabSelected="1" zoomScaleNormal="100" workbookViewId="0">
      <selection activeCell="V3" sqref="V3"/>
    </sheetView>
  </sheetViews>
  <sheetFormatPr defaultRowHeight="14.25" customHeight="1" x14ac:dyDescent="0.2"/>
  <cols>
    <col min="1" max="1" width="18.44140625" bestFit="1" customWidth="1"/>
    <col min="2" max="3" width="6" bestFit="1" customWidth="1"/>
    <col min="4" max="4" width="4" bestFit="1" customWidth="1"/>
    <col min="5" max="5" width="5" bestFit="1" customWidth="1"/>
    <col min="6" max="6" width="4" bestFit="1" customWidth="1"/>
    <col min="7" max="7" width="4" style="1" bestFit="1" customWidth="1"/>
    <col min="8" max="9" width="4" bestFit="1" customWidth="1"/>
    <col min="10" max="10" width="16.5546875" bestFit="1" customWidth="1"/>
    <col min="11" max="11" width="6.44140625" customWidth="1"/>
    <col min="12" max="12" width="6.21875" customWidth="1"/>
    <col min="13" max="13" width="6.21875" style="1" customWidth="1"/>
    <col min="14" max="14" width="6.21875" bestFit="1" customWidth="1"/>
    <col min="15" max="16" width="4" bestFit="1" customWidth="1"/>
    <col min="17" max="17" width="5.33203125" bestFit="1" customWidth="1"/>
    <col min="18" max="18" width="4" bestFit="1" customWidth="1"/>
    <col min="20" max="20" width="5.44140625" style="3" bestFit="1" customWidth="1"/>
    <col min="21" max="21" width="16.5546875" bestFit="1" customWidth="1"/>
  </cols>
  <sheetData>
    <row r="1" spans="1:23" ht="19.5" x14ac:dyDescent="0.2">
      <c r="A1" s="187" t="s">
        <v>198</v>
      </c>
      <c r="B1" s="188"/>
      <c r="C1" s="188"/>
      <c r="D1" s="188"/>
      <c r="E1" s="188"/>
      <c r="F1" s="188"/>
      <c r="G1" s="188"/>
      <c r="H1" s="188"/>
      <c r="I1" s="188"/>
      <c r="J1" s="188"/>
      <c r="K1" s="188"/>
      <c r="L1" s="188"/>
      <c r="M1" s="188"/>
      <c r="N1" s="188"/>
      <c r="O1" s="188"/>
      <c r="P1" s="188"/>
      <c r="Q1" s="188"/>
      <c r="R1" s="189"/>
    </row>
    <row r="2" spans="1:23" ht="53.25" x14ac:dyDescent="0.2">
      <c r="A2" s="171" t="s">
        <v>204</v>
      </c>
      <c r="B2" s="171" t="s">
        <v>205</v>
      </c>
      <c r="C2" s="171" t="s">
        <v>206</v>
      </c>
      <c r="D2" s="171" t="s">
        <v>207</v>
      </c>
      <c r="E2" s="171" t="s">
        <v>6</v>
      </c>
      <c r="F2" s="171" t="s">
        <v>210</v>
      </c>
      <c r="G2" s="171" t="s">
        <v>233</v>
      </c>
      <c r="H2" s="171" t="s">
        <v>222</v>
      </c>
      <c r="I2" s="172" t="s">
        <v>223</v>
      </c>
      <c r="J2" s="173" t="s">
        <v>218</v>
      </c>
      <c r="K2" s="174" t="s">
        <v>199</v>
      </c>
      <c r="L2" s="174" t="s">
        <v>200</v>
      </c>
      <c r="M2" s="174" t="s">
        <v>244</v>
      </c>
      <c r="N2" s="174" t="s">
        <v>201</v>
      </c>
      <c r="O2" s="174" t="s">
        <v>202</v>
      </c>
      <c r="P2" s="174" t="s">
        <v>203</v>
      </c>
      <c r="Q2" s="174" t="s">
        <v>208</v>
      </c>
      <c r="R2" s="174" t="s">
        <v>209</v>
      </c>
      <c r="T2" s="3" t="s">
        <v>217</v>
      </c>
      <c r="U2" t="s">
        <v>219</v>
      </c>
    </row>
    <row r="3" spans="1:23" ht="14.25" customHeight="1" x14ac:dyDescent="0.2">
      <c r="A3" t="str">
        <f>CmdTable[[#This Row],[Column12]]</f>
        <v/>
      </c>
      <c r="B3" t="b">
        <v>0</v>
      </c>
      <c r="C3" s="1" t="b">
        <v>0</v>
      </c>
      <c r="D3" t="s">
        <v>213</v>
      </c>
      <c r="E3" t="s">
        <v>214</v>
      </c>
      <c r="F3" t="s">
        <v>211</v>
      </c>
      <c r="H3">
        <v>0</v>
      </c>
      <c r="I3" s="74">
        <v>0</v>
      </c>
      <c r="J3" s="168"/>
      <c r="K3" s="167" t="str">
        <f>SUBSTITUTE(CmdTable[[#This Row],[FieldFmt]], "%L", CmdTable[[#This Row],[Letter]])</f>
        <v/>
      </c>
      <c r="L3" s="167" t="str">
        <f>SUBSTITUTE(CmdTable[[#This Row],[Column10]], "%V", "XX", 1)</f>
        <v/>
      </c>
      <c r="M3" s="167" t="str">
        <f>SUBSTITUTE(CmdTable[[#This Row],[Column11]], "%V", "YY", 1)</f>
        <v/>
      </c>
      <c r="N3" s="167" t="str">
        <f>SUBSTITUTE(CmdTable[[#This Row],[Column112]], "%F", CmdTable[[#This Row],[ForceField1]])</f>
        <v/>
      </c>
      <c r="O3" s="167"/>
      <c r="P3" s="167"/>
      <c r="Q3" s="167" t="str">
        <f>IF(CmdTable[[#This Row],[IsEscaped]], "&lt;ESC&gt;", "")</f>
        <v/>
      </c>
      <c r="R3" s="167" t="str">
        <f>IF(CmdTable[[#This Row],[IsShifted]], "&lt;SI&gt;", "")</f>
        <v/>
      </c>
      <c r="T3" s="190" t="s">
        <v>237</v>
      </c>
      <c r="U3" s="166" t="s">
        <v>210</v>
      </c>
    </row>
    <row r="4" spans="1:23" ht="14.25" customHeight="1" x14ac:dyDescent="0.2">
      <c r="A4" t="str">
        <f>CmdTable[[#This Row],[Column12]]</f>
        <v/>
      </c>
      <c r="B4" t="b">
        <v>1</v>
      </c>
      <c r="C4" s="1" t="b">
        <v>0</v>
      </c>
      <c r="D4" t="s">
        <v>213</v>
      </c>
      <c r="E4" s="1" t="s">
        <v>214</v>
      </c>
      <c r="F4" t="s">
        <v>212</v>
      </c>
      <c r="H4">
        <v>0</v>
      </c>
      <c r="I4" s="74">
        <v>0</v>
      </c>
      <c r="J4" s="168"/>
      <c r="K4" s="167" t="str">
        <f>SUBSTITUTE(CmdTable[[#This Row],[FieldFmt]], "%L", CmdTable[[#This Row],[Letter]])</f>
        <v/>
      </c>
      <c r="L4" s="167" t="str">
        <f>SUBSTITUTE(CmdTable[[#This Row],[Column10]], "%V", "XX", 1)</f>
        <v/>
      </c>
      <c r="M4" s="167" t="str">
        <f>SUBSTITUTE(CmdTable[[#This Row],[Column11]], "%V", "YY", 1)</f>
        <v/>
      </c>
      <c r="N4" s="167" t="str">
        <f>SUBSTITUTE(CmdTable[[#This Row],[Column112]], "%F", CmdTable[[#This Row],[ForceField1]])</f>
        <v/>
      </c>
      <c r="O4" s="167"/>
      <c r="P4" s="167"/>
      <c r="Q4" s="167" t="str">
        <f>IF(CmdTable[[#This Row],[IsEscaped]], "&lt;ESC&gt;", "")</f>
        <v>&lt;ESC&gt;</v>
      </c>
      <c r="R4" s="167" t="str">
        <f>IF(CmdTable[[#This Row],[IsShifted]], "&lt;SI&gt;", "")</f>
        <v/>
      </c>
      <c r="T4" s="190" t="s">
        <v>238</v>
      </c>
      <c r="U4" s="1" t="s">
        <v>233</v>
      </c>
    </row>
    <row r="5" spans="1:23" ht="14.25" customHeight="1" x14ac:dyDescent="0.2">
      <c r="A5" t="str">
        <f>CmdTable[[#This Row],[Column12]]</f>
        <v/>
      </c>
      <c r="B5" t="b">
        <v>1</v>
      </c>
      <c r="C5" s="1" t="b">
        <v>0</v>
      </c>
      <c r="D5" t="s">
        <v>211</v>
      </c>
      <c r="E5" t="s">
        <v>219</v>
      </c>
      <c r="F5" t="s">
        <v>235</v>
      </c>
      <c r="H5">
        <v>1</v>
      </c>
      <c r="I5" s="74">
        <v>1</v>
      </c>
      <c r="J5" s="168"/>
      <c r="K5" s="167" t="str">
        <f>SUBSTITUTE(CmdTable[[#This Row],[FieldFmt]], "%L", CmdTable[[#This Row],[Letter]])</f>
        <v/>
      </c>
      <c r="L5" s="167" t="str">
        <f>SUBSTITUTE(CmdTable[[#This Row],[Column10]], "%V", "XX", 1)</f>
        <v/>
      </c>
      <c r="M5" s="167" t="str">
        <f>SUBSTITUTE(CmdTable[[#This Row],[Column11]], "%V", "YY", 1)</f>
        <v/>
      </c>
      <c r="N5" s="167" t="str">
        <f>SUBSTITUTE(CmdTable[[#This Row],[Column112]], "%F", CmdTable[[#This Row],[ForceField1]])</f>
        <v/>
      </c>
      <c r="O5" s="167"/>
      <c r="P5" s="167"/>
      <c r="Q5" s="167" t="str">
        <f>IF(CmdTable[[#This Row],[IsEscaped]], "&lt;ESC&gt;", "")</f>
        <v>&lt;ESC&gt;</v>
      </c>
      <c r="R5" s="167" t="str">
        <f>IF(CmdTable[[#This Row],[IsShifted]], "&lt;SI&gt;", "")</f>
        <v/>
      </c>
      <c r="T5" s="191" t="s">
        <v>239</v>
      </c>
      <c r="U5" t="s">
        <v>240</v>
      </c>
    </row>
    <row r="6" spans="1:23" ht="14.25" customHeight="1" x14ac:dyDescent="0.2">
      <c r="A6" t="str">
        <f>CmdTable[[#This Row],[Column12]]</f>
        <v>HXX</v>
      </c>
      <c r="B6" t="b">
        <v>0</v>
      </c>
      <c r="C6" t="b">
        <v>0</v>
      </c>
      <c r="D6" t="s">
        <v>212</v>
      </c>
      <c r="E6" t="s">
        <v>215</v>
      </c>
      <c r="F6" t="s">
        <v>216</v>
      </c>
      <c r="H6">
        <v>1</v>
      </c>
      <c r="I6" s="74">
        <v>1</v>
      </c>
      <c r="J6" s="168" t="s">
        <v>243</v>
      </c>
      <c r="K6" s="167" t="str">
        <f>SUBSTITUTE(CmdTable[[#This Row],[FieldFmt]], "%L", CmdTable[[#This Row],[Letter]])</f>
        <v>H%V</v>
      </c>
      <c r="L6" s="167" t="str">
        <f>SUBSTITUTE(CmdTable[[#This Row],[Column10]], "%V", "XX", 1)</f>
        <v>HXX</v>
      </c>
      <c r="M6" s="167" t="str">
        <f>SUBSTITUTE(CmdTable[[#This Row],[Column11]], "%V", "YY", 1)</f>
        <v>HXX</v>
      </c>
      <c r="N6" s="167" t="str">
        <f>SUBSTITUTE(CmdTable[[#This Row],[Column112]], "%F", CmdTable[[#This Row],[ForceField1]])</f>
        <v>HXX</v>
      </c>
      <c r="O6" s="167"/>
      <c r="P6" s="167"/>
      <c r="Q6" s="167" t="str">
        <f>IF(CmdTable[[#This Row],[IsEscaped]], "&lt;ESC&gt;", "")</f>
        <v/>
      </c>
      <c r="R6" s="167" t="str">
        <f>IF(CmdTable[[#This Row],[IsShifted]], "&lt;SI&gt;", "")</f>
        <v/>
      </c>
      <c r="T6" s="3" t="s">
        <v>245</v>
      </c>
      <c r="U6" t="s">
        <v>246</v>
      </c>
    </row>
    <row r="7" spans="1:23" ht="14.25" customHeight="1" x14ac:dyDescent="0.2">
      <c r="A7" s="192" t="str">
        <f>CmdTable[[#This Row],[Column12]]</f>
        <v>oXX,YY</v>
      </c>
      <c r="B7" s="1" t="b">
        <v>0</v>
      </c>
      <c r="C7" s="1" t="b">
        <v>0</v>
      </c>
      <c r="D7" t="s">
        <v>212</v>
      </c>
      <c r="E7" t="s">
        <v>221</v>
      </c>
      <c r="F7" t="s">
        <v>220</v>
      </c>
      <c r="H7">
        <v>2</v>
      </c>
      <c r="I7" s="74">
        <v>2</v>
      </c>
      <c r="J7" s="168" t="s">
        <v>241</v>
      </c>
      <c r="K7" s="167" t="str">
        <f>SUBSTITUTE(CmdTable[[#This Row],[FieldFmt]], "%L", CmdTable[[#This Row],[Letter]])</f>
        <v>o%V,%V</v>
      </c>
      <c r="L7" s="167" t="str">
        <f>SUBSTITUTE(CmdTable[[#This Row],[Column10]], "%V", "XX", 1)</f>
        <v>oXX,%V</v>
      </c>
      <c r="M7" s="167" t="str">
        <f>SUBSTITUTE(CmdTable[[#This Row],[Column11]], "%V", "YY", 1)</f>
        <v>oXX,YY</v>
      </c>
      <c r="N7" s="167" t="str">
        <f>SUBSTITUTE(CmdTable[[#This Row],[Column112]], "%F", CmdTable[[#This Row],[ForceField1]])</f>
        <v>oXX,YY</v>
      </c>
      <c r="O7" s="167"/>
      <c r="P7" s="167"/>
      <c r="Q7" s="167" t="str">
        <f>IF(CmdTable[[#This Row],[IsEscaped]], "&lt;ESC&gt;", "")</f>
        <v/>
      </c>
      <c r="R7" s="167" t="str">
        <f>IF(CmdTable[[#This Row],[IsShifted]], "&lt;SI&gt;", "")</f>
        <v/>
      </c>
      <c r="T7" s="3">
        <v>4</v>
      </c>
      <c r="U7" s="1"/>
    </row>
    <row r="8" spans="1:23" ht="14.25" customHeight="1" x14ac:dyDescent="0.2">
      <c r="A8" t="str">
        <f>CmdTable[[#This Row],[Column12]]</f>
        <v/>
      </c>
      <c r="E8" t="s">
        <v>215</v>
      </c>
      <c r="F8" t="s">
        <v>224</v>
      </c>
      <c r="I8" s="74"/>
      <c r="J8" s="168"/>
      <c r="K8" s="167" t="str">
        <f>SUBSTITUTE(CmdTable[[#This Row],[FieldFmt]], "%L", CmdTable[[#This Row],[Letter]])</f>
        <v/>
      </c>
      <c r="L8" s="167" t="str">
        <f>SUBSTITUTE(CmdTable[[#This Row],[Column10]], "%V", "XX", 1)</f>
        <v/>
      </c>
      <c r="M8" s="167" t="str">
        <f>SUBSTITUTE(CmdTable[[#This Row],[Column11]], "%V", "YY", 1)</f>
        <v/>
      </c>
      <c r="N8" s="167" t="str">
        <f>SUBSTITUTE(CmdTable[[#This Row],[Column112]], "%F", CmdTable[[#This Row],[ForceField1]])</f>
        <v/>
      </c>
      <c r="O8" s="167"/>
      <c r="P8" s="167"/>
      <c r="Q8" s="167" t="str">
        <f>IF(CmdTable[[#This Row],[IsEscaped]], "&lt;ESC&gt;", "")</f>
        <v/>
      </c>
      <c r="R8" s="167" t="str">
        <f>IF(CmdTable[[#This Row],[IsShifted]], "&lt;SI&gt;", "")</f>
        <v/>
      </c>
      <c r="T8" s="3">
        <v>5</v>
      </c>
      <c r="U8" s="1"/>
    </row>
    <row r="9" spans="1:23" ht="14.25" customHeight="1" x14ac:dyDescent="0.2">
      <c r="A9" t="str">
        <f>CmdTable[[#This Row],[Column12]]</f>
        <v/>
      </c>
      <c r="E9" t="s">
        <v>215</v>
      </c>
      <c r="F9" t="s">
        <v>225</v>
      </c>
      <c r="I9" s="74"/>
      <c r="J9" s="168"/>
      <c r="K9" s="167" t="str">
        <f>SUBSTITUTE(CmdTable[[#This Row],[FieldFmt]], "%L", CmdTable[[#This Row],[Letter]])</f>
        <v/>
      </c>
      <c r="L9" s="167" t="str">
        <f>SUBSTITUTE(CmdTable[[#This Row],[Column10]], "%V", "XX", 1)</f>
        <v/>
      </c>
      <c r="M9" s="167" t="str">
        <f>SUBSTITUTE(CmdTable[[#This Row],[Column11]], "%V", "YY", 1)</f>
        <v/>
      </c>
      <c r="N9" s="167" t="str">
        <f>SUBSTITUTE(CmdTable[[#This Row],[Column112]], "%F", CmdTable[[#This Row],[ForceField1]])</f>
        <v/>
      </c>
      <c r="O9" s="167"/>
      <c r="P9" s="167"/>
      <c r="Q9" s="167" t="str">
        <f>IF(CmdTable[[#This Row],[IsEscaped]], "&lt;ESC&gt;", "")</f>
        <v/>
      </c>
      <c r="R9" s="167" t="str">
        <f>IF(CmdTable[[#This Row],[IsShifted]], "&lt;SI&gt;", "")</f>
        <v/>
      </c>
      <c r="T9" s="3" t="s">
        <v>234</v>
      </c>
    </row>
    <row r="10" spans="1:23" ht="14.25" customHeight="1" x14ac:dyDescent="0.2">
      <c r="A10" t="str">
        <f>CmdTable[[#This Row],[Column12]]</f>
        <v/>
      </c>
      <c r="E10" t="s">
        <v>215</v>
      </c>
      <c r="F10" t="s">
        <v>226</v>
      </c>
      <c r="I10" s="74"/>
      <c r="J10" s="168"/>
      <c r="K10" s="167" t="str">
        <f>SUBSTITUTE(CmdTable[[#This Row],[FieldFmt]], "%L", CmdTable[[#This Row],[Letter]])</f>
        <v/>
      </c>
      <c r="L10" s="167" t="str">
        <f>SUBSTITUTE(CmdTable[[#This Row],[Column10]], "%V", "XX", 1)</f>
        <v/>
      </c>
      <c r="M10" s="167" t="str">
        <f>SUBSTITUTE(CmdTable[[#This Row],[Column11]], "%V", "YY", 1)</f>
        <v/>
      </c>
      <c r="N10" s="167" t="str">
        <f>SUBSTITUTE(CmdTable[[#This Row],[Column112]], "%F", CmdTable[[#This Row],[ForceField1]])</f>
        <v/>
      </c>
      <c r="O10" s="167"/>
      <c r="P10" s="167"/>
      <c r="Q10" s="167" t="str">
        <f>IF(CmdTable[[#This Row],[IsEscaped]], "&lt;ESC&gt;", "")</f>
        <v/>
      </c>
      <c r="R10" s="167" t="str">
        <f>IF(CmdTable[[#This Row],[IsShifted]], "&lt;SI&gt;", "")</f>
        <v/>
      </c>
      <c r="T10" s="3" t="s">
        <v>236</v>
      </c>
    </row>
    <row r="11" spans="1:23" ht="14.25" customHeight="1" x14ac:dyDescent="0.2">
      <c r="A11" t="str">
        <f>CmdTable[[#This Row],[Column12]]</f>
        <v/>
      </c>
      <c r="E11" t="s">
        <v>215</v>
      </c>
      <c r="F11" t="s">
        <v>227</v>
      </c>
      <c r="I11" s="74"/>
      <c r="J11" s="168"/>
      <c r="K11" s="167" t="str">
        <f>SUBSTITUTE(CmdTable[[#This Row],[FieldFmt]], "%L", CmdTable[[#This Row],[Letter]])</f>
        <v/>
      </c>
      <c r="L11" s="167" t="str">
        <f>SUBSTITUTE(CmdTable[[#This Row],[Column10]], "%V", "XX", 1)</f>
        <v/>
      </c>
      <c r="M11" s="167" t="str">
        <f>SUBSTITUTE(CmdTable[[#This Row],[Column11]], "%V", "YY", 1)</f>
        <v/>
      </c>
      <c r="N11" s="167" t="str">
        <f>SUBSTITUTE(CmdTable[[#This Row],[Column112]], "%F", CmdTable[[#This Row],[ForceField1]])</f>
        <v/>
      </c>
      <c r="O11" s="167"/>
      <c r="P11" s="167"/>
      <c r="Q11" s="167" t="str">
        <f>IF(CmdTable[[#This Row],[IsEscaped]], "&lt;ESC&gt;", "")</f>
        <v/>
      </c>
      <c r="R11" s="167" t="str">
        <f>IF(CmdTable[[#This Row],[IsShifted]], "&lt;SI&gt;", "")</f>
        <v/>
      </c>
    </row>
    <row r="12" spans="1:23" ht="14.25" customHeight="1" x14ac:dyDescent="0.2">
      <c r="A12" t="str">
        <f>CmdTable[[#This Row],[Column12]]</f>
        <v/>
      </c>
      <c r="E12" s="1" t="s">
        <v>221</v>
      </c>
      <c r="F12" t="s">
        <v>228</v>
      </c>
      <c r="I12" s="74"/>
      <c r="J12" s="168"/>
      <c r="K12" s="167" t="str">
        <f>SUBSTITUTE(CmdTable[[#This Row],[FieldFmt]], "%L", CmdTable[[#This Row],[Letter]])</f>
        <v/>
      </c>
      <c r="L12" s="167" t="str">
        <f>SUBSTITUTE(CmdTable[[#This Row],[Column10]], "%V", "XX", 1)</f>
        <v/>
      </c>
      <c r="M12" s="167" t="str">
        <f>SUBSTITUTE(CmdTable[[#This Row],[Column11]], "%V", "YY", 1)</f>
        <v/>
      </c>
      <c r="N12" s="167" t="str">
        <f>SUBSTITUTE(CmdTable[[#This Row],[Column112]], "%F", CmdTable[[#This Row],[ForceField1]])</f>
        <v/>
      </c>
      <c r="O12" s="167"/>
      <c r="P12" s="167"/>
      <c r="Q12" s="167" t="str">
        <f>IF(CmdTable[[#This Row],[IsEscaped]], "&lt;ESC&gt;", "")</f>
        <v/>
      </c>
      <c r="R12" s="167" t="str">
        <f>IF(CmdTable[[#This Row],[IsShifted]], "&lt;SI&gt;", "")</f>
        <v/>
      </c>
    </row>
    <row r="13" spans="1:23" ht="14.25" customHeight="1" x14ac:dyDescent="0.2">
      <c r="A13" t="str">
        <f>CmdTable[[#This Row],[Column12]]</f>
        <v/>
      </c>
      <c r="E13" s="1" t="s">
        <v>221</v>
      </c>
      <c r="F13" t="s">
        <v>229</v>
      </c>
      <c r="I13" s="74"/>
      <c r="J13" s="168"/>
      <c r="K13" s="167" t="str">
        <f>SUBSTITUTE(CmdTable[[#This Row],[FieldFmt]], "%L", CmdTable[[#This Row],[Letter]])</f>
        <v/>
      </c>
      <c r="L13" s="167" t="str">
        <f>SUBSTITUTE(CmdTable[[#This Row],[Column10]], "%V", "XX", 1)</f>
        <v/>
      </c>
      <c r="M13" s="167" t="str">
        <f>SUBSTITUTE(CmdTable[[#This Row],[Column11]], "%V", "YY", 1)</f>
        <v/>
      </c>
      <c r="N13" s="167" t="str">
        <f>SUBSTITUTE(CmdTable[[#This Row],[Column112]], "%F", CmdTable[[#This Row],[ForceField1]])</f>
        <v/>
      </c>
      <c r="O13" s="167"/>
      <c r="P13" s="167"/>
      <c r="Q13" s="167" t="str">
        <f>IF(CmdTable[[#This Row],[IsEscaped]], "&lt;ESC&gt;", "")</f>
        <v/>
      </c>
      <c r="R13" s="167" t="str">
        <f>IF(CmdTable[[#This Row],[IsShifted]], "&lt;SI&gt;", "")</f>
        <v/>
      </c>
    </row>
    <row r="14" spans="1:23" ht="14.25" customHeight="1" x14ac:dyDescent="0.2">
      <c r="A14" t="str">
        <f>CmdTable[[#This Row],[Column12]]</f>
        <v/>
      </c>
      <c r="E14" t="s">
        <v>221</v>
      </c>
      <c r="F14" t="s">
        <v>230</v>
      </c>
      <c r="I14" s="74"/>
      <c r="J14" s="168"/>
      <c r="K14" s="167" t="str">
        <f>SUBSTITUTE(CmdTable[[#This Row],[FieldFmt]], "%L", CmdTable[[#This Row],[Letter]])</f>
        <v/>
      </c>
      <c r="L14" s="167" t="str">
        <f>SUBSTITUTE(CmdTable[[#This Row],[Column10]], "%V", "XX", 1)</f>
        <v/>
      </c>
      <c r="M14" s="167" t="str">
        <f>SUBSTITUTE(CmdTable[[#This Row],[Column11]], "%V", "YY", 1)</f>
        <v/>
      </c>
      <c r="N14" s="167" t="str">
        <f>SUBSTITUTE(CmdTable[[#This Row],[Column112]], "%F", CmdTable[[#This Row],[ForceField1]])</f>
        <v/>
      </c>
      <c r="O14" s="167"/>
      <c r="P14" s="167"/>
      <c r="Q14" s="167" t="str">
        <f>IF(CmdTable[[#This Row],[IsEscaped]], "&lt;ESC&gt;", "")</f>
        <v/>
      </c>
      <c r="R14" s="167" t="str">
        <f>IF(CmdTable[[#This Row],[IsShifted]], "&lt;SI&gt;", "")</f>
        <v/>
      </c>
      <c r="W14" t="s">
        <v>242</v>
      </c>
    </row>
    <row r="15" spans="1:23" ht="14.25" customHeight="1" x14ac:dyDescent="0.2">
      <c r="A15" t="str">
        <f>CmdTable[[#This Row],[Column12]]</f>
        <v/>
      </c>
      <c r="E15" t="s">
        <v>221</v>
      </c>
      <c r="F15" t="s">
        <v>231</v>
      </c>
      <c r="I15" s="74"/>
      <c r="J15" s="168"/>
      <c r="K15" s="167" t="str">
        <f>SUBSTITUTE(CmdTable[[#This Row],[FieldFmt]], "%L", CmdTable[[#This Row],[Letter]])</f>
        <v/>
      </c>
      <c r="L15" s="167" t="str">
        <f>SUBSTITUTE(CmdTable[[#This Row],[Column10]], "%V", "XX", 1)</f>
        <v/>
      </c>
      <c r="M15" s="167" t="str">
        <f>SUBSTITUTE(CmdTable[[#This Row],[Column11]], "%V", "YY", 1)</f>
        <v/>
      </c>
      <c r="N15" s="167" t="str">
        <f>SUBSTITUTE(CmdTable[[#This Row],[Column112]], "%F", CmdTable[[#This Row],[ForceField1]])</f>
        <v/>
      </c>
      <c r="O15" s="167"/>
      <c r="P15" s="167"/>
      <c r="Q15" s="167" t="str">
        <f>IF(CmdTable[[#This Row],[IsEscaped]], "&lt;ESC&gt;", "")</f>
        <v/>
      </c>
      <c r="R15" s="167" t="str">
        <f>IF(CmdTable[[#This Row],[IsShifted]], "&lt;SI&gt;", "")</f>
        <v/>
      </c>
    </row>
    <row r="16" spans="1:23" ht="14.25" customHeight="1" x14ac:dyDescent="0.2">
      <c r="A16" t="str">
        <f>CmdTable[[#This Row],[Column12]]</f>
        <v/>
      </c>
      <c r="E16" t="s">
        <v>221</v>
      </c>
      <c r="F16" t="s">
        <v>232</v>
      </c>
      <c r="G16" s="1">
        <v>0</v>
      </c>
      <c r="H16" s="169" t="s">
        <v>236</v>
      </c>
      <c r="I16" s="170" t="s">
        <v>236</v>
      </c>
      <c r="J16" s="168"/>
      <c r="K16" s="167" t="str">
        <f>SUBSTITUTE(CmdTable[[#This Row],[FieldFmt]], "%L", CmdTable[[#This Row],[Letter]])</f>
        <v/>
      </c>
      <c r="L16" s="167" t="str">
        <f>SUBSTITUTE(CmdTable[[#This Row],[Column10]], "%V", "XX", 1)</f>
        <v/>
      </c>
      <c r="M16" s="167" t="str">
        <f>SUBSTITUTE(CmdTable[[#This Row],[Column11]], "%V", "YY", 1)</f>
        <v/>
      </c>
      <c r="N16" s="167" t="str">
        <f>SUBSTITUTE(CmdTable[[#This Row],[Column112]], "%F", CmdTable[[#This Row],[ForceField1]])</f>
        <v/>
      </c>
      <c r="O16" s="167"/>
      <c r="P16" s="167"/>
      <c r="Q16" s="167" t="str">
        <f>IF(CmdTable[[#This Row],[IsEscaped]], "&lt;ESC&gt;", "")</f>
        <v/>
      </c>
      <c r="R16" s="167" t="str">
        <f>IF(CmdTable[[#This Row],[IsShifted]], "&lt;SI&gt;", "")</f>
        <v/>
      </c>
    </row>
    <row r="17" spans="1:18" ht="14.25" customHeight="1" x14ac:dyDescent="0.2">
      <c r="A17" t="str">
        <f>CmdTable[[#This Row],[Column12]]</f>
        <v/>
      </c>
      <c r="E17" t="s">
        <v>221</v>
      </c>
      <c r="F17" t="s">
        <v>232</v>
      </c>
      <c r="G17" s="1">
        <v>3</v>
      </c>
      <c r="H17" s="169" t="s">
        <v>234</v>
      </c>
      <c r="I17" s="170" t="s">
        <v>234</v>
      </c>
      <c r="J17" s="168"/>
      <c r="K17" s="167" t="str">
        <f>SUBSTITUTE(CmdTable[[#This Row],[FieldFmt]], "%L", CmdTable[[#This Row],[Letter]])</f>
        <v/>
      </c>
      <c r="L17" s="167" t="str">
        <f>SUBSTITUTE(CmdTable[[#This Row],[Column10]], "%V", "XX", 1)</f>
        <v/>
      </c>
      <c r="M17" s="167" t="str">
        <f>SUBSTITUTE(CmdTable[[#This Row],[Column11]], "%V", "YY", 1)</f>
        <v/>
      </c>
      <c r="N17" s="167" t="str">
        <f>SUBSTITUTE(CmdTable[[#This Row],[Column112]], "%F", CmdTable[[#This Row],[ForceField1]])</f>
        <v/>
      </c>
      <c r="O17" s="167"/>
      <c r="P17" s="167"/>
      <c r="Q17" s="167" t="str">
        <f>IF(CmdTable[[#This Row],[IsEscaped]], "&lt;ESC&gt;", "")</f>
        <v/>
      </c>
      <c r="R17" s="167" t="str">
        <f>IF(CmdTable[[#This Row],[IsShifted]], "&lt;SI&gt;", "")</f>
        <v/>
      </c>
    </row>
    <row r="18" spans="1:18" ht="14.25" customHeight="1" x14ac:dyDescent="0.2">
      <c r="A18" t="str">
        <f>CmdTable[[#This Row],[Column12]]</f>
        <v/>
      </c>
      <c r="I18" s="74"/>
      <c r="J18" s="168"/>
      <c r="K18" s="167" t="str">
        <f>SUBSTITUTE(CmdTable[[#This Row],[FieldFmt]], "%L", CmdTable[[#This Row],[Letter]])</f>
        <v/>
      </c>
      <c r="L18" s="167" t="str">
        <f>SUBSTITUTE(CmdTable[[#This Row],[Column10]], "%V", "XX", 1)</f>
        <v/>
      </c>
      <c r="M18" s="167" t="str">
        <f>SUBSTITUTE(CmdTable[[#This Row],[Column11]], "%V", "YY", 1)</f>
        <v/>
      </c>
      <c r="N18" s="167" t="str">
        <f>SUBSTITUTE(CmdTable[[#This Row],[Column112]], "%F", CmdTable[[#This Row],[ForceField1]])</f>
        <v/>
      </c>
      <c r="O18" s="167"/>
      <c r="P18" s="167"/>
      <c r="Q18" s="167" t="str">
        <f>IF(CmdTable[[#This Row],[IsEscaped]], "&lt;ESC&gt;", "")</f>
        <v/>
      </c>
      <c r="R18" s="167" t="str">
        <f>IF(CmdTable[[#This Row],[IsShifted]], "&lt;SI&gt;", "")</f>
        <v/>
      </c>
    </row>
    <row r="19" spans="1:18" ht="14.25" customHeight="1" x14ac:dyDescent="0.2">
      <c r="A19" t="str">
        <f>CmdTable[[#This Row],[Column12]]</f>
        <v/>
      </c>
      <c r="I19" s="74"/>
      <c r="J19" s="168"/>
      <c r="K19" s="167" t="str">
        <f>SUBSTITUTE(CmdTable[[#This Row],[FieldFmt]], "%L", CmdTable[[#This Row],[Letter]])</f>
        <v/>
      </c>
      <c r="L19" s="167" t="str">
        <f>SUBSTITUTE(CmdTable[[#This Row],[Column10]], "%V", "XX", 1)</f>
        <v/>
      </c>
      <c r="M19" s="167" t="str">
        <f>SUBSTITUTE(CmdTable[[#This Row],[Column11]], "%V", "YY", 1)</f>
        <v/>
      </c>
      <c r="N19" s="167" t="str">
        <f>SUBSTITUTE(CmdTable[[#This Row],[Column112]], "%F", CmdTable[[#This Row],[ForceField1]])</f>
        <v/>
      </c>
      <c r="O19" s="167"/>
      <c r="P19" s="167"/>
      <c r="Q19" s="167" t="str">
        <f>IF(CmdTable[[#This Row],[IsEscaped]], "&lt;ESC&gt;", "")</f>
        <v/>
      </c>
      <c r="R19" s="167" t="str">
        <f>IF(CmdTable[[#This Row],[IsShifted]], "&lt;SI&gt;", "")</f>
        <v/>
      </c>
    </row>
    <row r="20" spans="1:18" ht="14.25" customHeight="1" x14ac:dyDescent="0.2">
      <c r="A20" t="str">
        <f>CmdTable[[#This Row],[Column12]]</f>
        <v/>
      </c>
      <c r="I20" s="74"/>
      <c r="J20" s="168"/>
      <c r="K20" s="167" t="str">
        <f>SUBSTITUTE(CmdTable[[#This Row],[FieldFmt]], "%L", CmdTable[[#This Row],[Letter]])</f>
        <v/>
      </c>
      <c r="L20" s="167" t="str">
        <f>SUBSTITUTE(CmdTable[[#This Row],[Column10]], "%V", "XX", 1)</f>
        <v/>
      </c>
      <c r="M20" s="167" t="str">
        <f>SUBSTITUTE(CmdTable[[#This Row],[Column11]], "%V", "YY", 1)</f>
        <v/>
      </c>
      <c r="N20" s="167" t="str">
        <f>SUBSTITUTE(CmdTable[[#This Row],[Column112]], "%F", CmdTable[[#This Row],[ForceField1]])</f>
        <v/>
      </c>
      <c r="O20" s="167"/>
      <c r="P20" s="167"/>
      <c r="Q20" s="167" t="str">
        <f>IF(CmdTable[[#This Row],[IsEscaped]], "&lt;ESC&gt;", "")</f>
        <v/>
      </c>
      <c r="R20" s="167" t="str">
        <f>IF(CmdTable[[#This Row],[IsShifted]], "&lt;SI&gt;", "")</f>
        <v/>
      </c>
    </row>
  </sheetData>
  <mergeCells count="1">
    <mergeCell ref="A1:R1"/>
  </mergeCells>
  <phoneticPr fontId="47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Key</vt:lpstr>
      <vt:lpstr>Sheet1</vt:lpstr>
      <vt:lpstr>Bool</vt:lpstr>
      <vt:lpstr>CellFontSize_Override</vt:lpstr>
      <vt:lpstr>HeaderFontSize_Override</vt:lpstr>
      <vt:lpstr>StyleNames</vt:lpstr>
      <vt:lpstr>TitleFontSize_Override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New Styled Template</dc:title>
  <dc:creator>Taylor, John</dc:creator>
  <cp:keywords>template</cp:keywords>
  <cp:lastModifiedBy>Taylor, John</cp:lastModifiedBy>
  <dcterms:created xsi:type="dcterms:W3CDTF">2025-08-18T01:13:59Z</dcterms:created>
  <dcterms:modified xsi:type="dcterms:W3CDTF">2025-11-26T20:38:51Z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798273d-f5aa-46da-8e10-241f6dcd5f2d_Enabled">
    <vt:lpwstr>true</vt:lpwstr>
  </property>
  <property fmtid="{D5CDD505-2E9C-101B-9397-08002B2CF9AE}" pid="3" name="MSIP_Label_e798273d-f5aa-46da-8e10-241f6dcd5f2d_SetDate">
    <vt:lpwstr>2025-08-18T01:15:25Z</vt:lpwstr>
  </property>
  <property fmtid="{D5CDD505-2E9C-101B-9397-08002B2CF9AE}" pid="4" name="MSIP_Label_e798273d-f5aa-46da-8e10-241f6dcd5f2d_Method">
    <vt:lpwstr>Standard</vt:lpwstr>
  </property>
  <property fmtid="{D5CDD505-2E9C-101B-9397-08002B2CF9AE}" pid="5" name="MSIP_Label_e798273d-f5aa-46da-8e10-241f6dcd5f2d_Name">
    <vt:lpwstr>e798273d-f5aa-46da-8e10-241f6dcd5f2d</vt:lpwstr>
  </property>
  <property fmtid="{D5CDD505-2E9C-101B-9397-08002B2CF9AE}" pid="6" name="MSIP_Label_e798273d-f5aa-46da-8e10-241f6dcd5f2d_SiteId">
    <vt:lpwstr>c760270c-f3da-4cfa-9737-03808ef5579f</vt:lpwstr>
  </property>
  <property fmtid="{D5CDD505-2E9C-101B-9397-08002B2CF9AE}" pid="7" name="MSIP_Label_e798273d-f5aa-46da-8e10-241f6dcd5f2d_ActionId">
    <vt:lpwstr>963af2d6-1919-43a2-b9f6-d91edc761cc5</vt:lpwstr>
  </property>
  <property fmtid="{D5CDD505-2E9C-101B-9397-08002B2CF9AE}" pid="8" name="MSIP_Label_e798273d-f5aa-46da-8e10-241f6dcd5f2d_ContentBits">
    <vt:lpwstr>0</vt:lpwstr>
  </property>
  <property fmtid="{D5CDD505-2E9C-101B-9397-08002B2CF9AE}" pid="9" name="MSIP_Label_e798273d-f5aa-46da-8e10-241f6dcd5f2d_Tag">
    <vt:lpwstr>10, 3, 0, 1</vt:lpwstr>
  </property>
</Properties>
</file>